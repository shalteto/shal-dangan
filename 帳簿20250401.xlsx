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383255bb4f3f8af/狩猟関係/帳票/"/>
    </mc:Choice>
  </mc:AlternateContent>
  <xr:revisionPtr revIDLastSave="67" documentId="11_9DE757B0B90701DCE7EB9491825A31214B41971A" xr6:coauthVersionLast="47" xr6:coauthVersionMax="47" xr10:uidLastSave="{014DF676-25EF-47BF-AFAE-13BD04B79964}"/>
  <bookViews>
    <workbookView xWindow="-96" yWindow="0" windowWidth="11712" windowHeight="12336" firstSheet="1" activeTab="1" xr2:uid="{00000000-000D-0000-FFFF-FFFF00000000}"/>
  </bookViews>
  <sheets>
    <sheet name="表紙" sheetId="1" state="hidden" r:id="rId1"/>
    <sheet name="帳簿" sheetId="2" r:id="rId2"/>
    <sheet name="帳簿(認定)" sheetId="3" r:id="rId3"/>
    <sheet name="更新期限" sheetId="4" state="hidden" r:id="rId4"/>
    <sheet name="帳簿(空気銃)" sheetId="5" r:id="rId5"/>
    <sheet name="データシート" sheetId="6" r:id="rId6"/>
    <sheet name="表紙記号" sheetId="7" r:id="rId7"/>
    <sheet name="知人名簿" sheetId="8" r:id="rId8"/>
    <sheet name="身上関係 (裏)" sheetId="9" state="hidden" r:id="rId9"/>
    <sheet name="実包関係（表）" sheetId="10" state="hidden" r:id="rId10"/>
    <sheet name="実包関係（裏" sheetId="11" state="hidden" r:id="rId11"/>
  </sheets>
  <definedNames>
    <definedName name="_xlnm._FilterDatabase" localSheetId="1" hidden="1">帳簿!$B$11:$Q$51</definedName>
    <definedName name="_xlnm._FilterDatabase" localSheetId="4" hidden="1">'帳簿(空気銃)'!$B$5:$F$34</definedName>
    <definedName name="_xlnm._FilterDatabase" localSheetId="2" hidden="1">'帳簿(認定)'!$B$11:$H$41</definedName>
    <definedName name="_xlnm.Print_Area" localSheetId="1">帳簿!$A$1:$Q$57</definedName>
    <definedName name="_xlnm.Print_Area" localSheetId="4">'帳簿(空気銃)'!$A$1:$F$40</definedName>
    <definedName name="_xlnm.Print_Area" localSheetId="2">'帳簿(認定)'!$A$1:$H$47</definedName>
    <definedName name="使用銃">データシート!$A$35:$A$37</definedName>
    <definedName name="場所">データシート!$A$12:$A$31</definedName>
    <definedName name="用途">データシート!$A$2:$A$7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11" l="1"/>
  <c r="D40" i="5"/>
  <c r="D39" i="5"/>
  <c r="D38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F2" i="5"/>
  <c r="F3" i="5"/>
  <c r="F1" i="5"/>
  <c r="E7" i="4"/>
  <c r="D7" i="4"/>
  <c r="E6" i="4"/>
  <c r="D6" i="4"/>
  <c r="E5" i="4"/>
  <c r="D5" i="4"/>
  <c r="E4" i="4"/>
  <c r="D4" i="4"/>
  <c r="E3" i="4"/>
  <c r="D3" i="4"/>
  <c r="A1" i="4"/>
  <c r="C3" i="4" s="1"/>
  <c r="E47" i="3"/>
  <c r="D47" i="3"/>
  <c r="E46" i="3"/>
  <c r="D46" i="3"/>
  <c r="E45" i="3"/>
  <c r="D45" i="3"/>
  <c r="E9" i="3"/>
  <c r="D9" i="3"/>
  <c r="D10" i="3"/>
  <c r="E8" i="3"/>
  <c r="D8" i="3"/>
  <c r="E7" i="3"/>
  <c r="D7" i="3"/>
  <c r="H2" i="3"/>
  <c r="H3" i="3"/>
  <c r="H1" i="3"/>
  <c r="E57" i="2"/>
  <c r="D57" i="2"/>
  <c r="E56" i="2"/>
  <c r="D56" i="2"/>
  <c r="E55" i="2"/>
  <c r="D55" i="2"/>
  <c r="O51" i="2"/>
  <c r="J51" i="2"/>
  <c r="E51" i="2"/>
  <c r="O50" i="2"/>
  <c r="J50" i="2"/>
  <c r="E50" i="2"/>
  <c r="O49" i="2"/>
  <c r="J49" i="2"/>
  <c r="E49" i="2"/>
  <c r="O48" i="2"/>
  <c r="J48" i="2"/>
  <c r="E48" i="2"/>
  <c r="O47" i="2"/>
  <c r="J47" i="2"/>
  <c r="E47" i="2"/>
  <c r="O46" i="2"/>
  <c r="J46" i="2"/>
  <c r="E46" i="2"/>
  <c r="O45" i="2"/>
  <c r="J45" i="2"/>
  <c r="E45" i="2"/>
  <c r="O44" i="2"/>
  <c r="J44" i="2"/>
  <c r="E44" i="2"/>
  <c r="O43" i="2"/>
  <c r="J43" i="2"/>
  <c r="E43" i="2"/>
  <c r="O42" i="2"/>
  <c r="J42" i="2"/>
  <c r="E42" i="2"/>
  <c r="O41" i="2"/>
  <c r="J41" i="2"/>
  <c r="E41" i="2"/>
  <c r="O40" i="2"/>
  <c r="J40" i="2"/>
  <c r="E40" i="2"/>
  <c r="O39" i="2"/>
  <c r="J39" i="2"/>
  <c r="E39" i="2"/>
  <c r="O38" i="2"/>
  <c r="J38" i="2"/>
  <c r="E38" i="2"/>
  <c r="O37" i="2"/>
  <c r="J37" i="2"/>
  <c r="E37" i="2"/>
  <c r="O36" i="2"/>
  <c r="J36" i="2"/>
  <c r="E36" i="2"/>
  <c r="O35" i="2"/>
  <c r="J35" i="2"/>
  <c r="E35" i="2"/>
  <c r="O34" i="2"/>
  <c r="J34" i="2"/>
  <c r="E34" i="2"/>
  <c r="O33" i="2"/>
  <c r="J33" i="2"/>
  <c r="E33" i="2"/>
  <c r="O32" i="2"/>
  <c r="J32" i="2"/>
  <c r="E32" i="2"/>
  <c r="O31" i="2"/>
  <c r="J31" i="2"/>
  <c r="E31" i="2"/>
  <c r="O30" i="2"/>
  <c r="J30" i="2"/>
  <c r="E30" i="2"/>
  <c r="O29" i="2"/>
  <c r="J29" i="2"/>
  <c r="E29" i="2"/>
  <c r="O28" i="2"/>
  <c r="J28" i="2"/>
  <c r="E28" i="2"/>
  <c r="J27" i="2"/>
  <c r="E27" i="2"/>
  <c r="J26" i="2"/>
  <c r="E26" i="2"/>
  <c r="J25" i="2"/>
  <c r="E25" i="2"/>
  <c r="J24" i="2"/>
  <c r="E24" i="2"/>
  <c r="J23" i="2"/>
  <c r="E23" i="2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J15" i="2"/>
  <c r="E15" i="2"/>
  <c r="J14" i="2"/>
  <c r="E14" i="2"/>
  <c r="O13" i="2"/>
  <c r="J13" i="2"/>
  <c r="E13" i="2"/>
  <c r="J12" i="2"/>
  <c r="E12" i="2"/>
  <c r="N9" i="2"/>
  <c r="M9" i="2"/>
  <c r="L9" i="2"/>
  <c r="K9" i="2"/>
  <c r="J9" i="2"/>
  <c r="I9" i="2"/>
  <c r="I10" i="2"/>
  <c r="H9" i="2"/>
  <c r="G9" i="2"/>
  <c r="F9" i="2"/>
  <c r="E9" i="2"/>
  <c r="D9" i="2"/>
  <c r="D10" i="2"/>
  <c r="N8" i="2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5" i="2"/>
  <c r="M5" i="2"/>
  <c r="L5" i="2"/>
  <c r="K5" i="2"/>
  <c r="J5" i="2"/>
  <c r="I5" i="2"/>
  <c r="H5" i="2"/>
  <c r="G5" i="2"/>
  <c r="F5" i="2"/>
  <c r="E5" i="2"/>
  <c r="D5" i="2"/>
  <c r="Q2" i="2"/>
  <c r="Q3" i="2"/>
  <c r="Q1" i="2"/>
  <c r="C6" i="4" l="1"/>
  <c r="C5" i="4"/>
  <c r="C7" i="4"/>
  <c r="C4" i="4"/>
</calcChain>
</file>

<file path=xl/sharedStrings.xml><?xml version="1.0" encoding="utf-8"?>
<sst xmlns="http://schemas.openxmlformats.org/spreadsheetml/2006/main" count="621" uniqueCount="334">
  <si>
    <t>実　包　等　管　理　帳　簿</t>
  </si>
  <si>
    <t>　自</t>
  </si>
  <si>
    <t>年</t>
  </si>
  <si>
    <t>月</t>
  </si>
  <si>
    <t>日</t>
  </si>
  <si>
    <t>　至</t>
  </si>
  <si>
    <t>　住所　（実包保管場所）</t>
  </si>
  <si>
    <t>愛知県田原市浦町尾﨑１３番地</t>
  </si>
  <si>
    <t>　氏名</t>
  </si>
  <si>
    <t>鈴木　翔一郎</t>
  </si>
  <si>
    <t>　電話番号（自宅）</t>
  </si>
  <si>
    <t>0531-22-3064</t>
  </si>
  <si>
    <t>　携帯番号</t>
  </si>
  <si>
    <t>090-8676-1049</t>
  </si>
  <si>
    <t>≪帳簿記載は銃砲刀剣類所持等取締法第10の5で義務付けされています。</t>
  </si>
  <si>
    <t>受払の都度記帳して下さい。≫</t>
  </si>
  <si>
    <t>実包等管理帳簿（射撃、狩猟、有害）</t>
  </si>
  <si>
    <t>作成</t>
  </si>
  <si>
    <t>最終更新</t>
  </si>
  <si>
    <t>実包種類･名称：散弾12番径</t>
  </si>
  <si>
    <t>保存期間</t>
  </si>
  <si>
    <t>射撃</t>
  </si>
  <si>
    <t>狩猟/有害</t>
  </si>
  <si>
    <t>弾種→</t>
  </si>
  <si>
    <t>繰越</t>
  </si>
  <si>
    <t>購入合計</t>
  </si>
  <si>
    <t>消費合計</t>
  </si>
  <si>
    <t>残弾</t>
  </si>
  <si>
    <t>日付</t>
  </si>
  <si>
    <t>用途</t>
  </si>
  <si>
    <t>Slug</t>
  </si>
  <si>
    <t>他</t>
  </si>
  <si>
    <t>7.5号</t>
  </si>
  <si>
    <t>9号</t>
  </si>
  <si>
    <t>(予備)</t>
  </si>
  <si>
    <t>9粒</t>
  </si>
  <si>
    <t>5号</t>
  </si>
  <si>
    <t>3号</t>
  </si>
  <si>
    <t>場所</t>
  </si>
  <si>
    <t>使用銃</t>
  </si>
  <si>
    <t>猟果(目撃)</t>
  </si>
  <si>
    <t>銃別使用回数</t>
  </si>
  <si>
    <t>M500</t>
  </si>
  <si>
    <t>-</t>
  </si>
  <si>
    <t>狩猟</t>
  </si>
  <si>
    <t>有害</t>
  </si>
  <si>
    <t>実包等管理帳簿（認定）</t>
  </si>
  <si>
    <t>認定</t>
  </si>
  <si>
    <t>内容</t>
  </si>
  <si>
    <t>取得日</t>
  </si>
  <si>
    <t>注意</t>
  </si>
  <si>
    <t>アラート</t>
  </si>
  <si>
    <t>期限日</t>
  </si>
  <si>
    <t>期限規則</t>
  </si>
  <si>
    <t>猟銃用火薬類等譲受許可書</t>
  </si>
  <si>
    <t>1年間</t>
  </si>
  <si>
    <t>猟銃講習会修了証明書</t>
  </si>
  <si>
    <t>3年間</t>
  </si>
  <si>
    <t>射撃教習修了証明書</t>
  </si>
  <si>
    <t>猟銃所持許可証</t>
  </si>
  <si>
    <t>3回目の誕生日まで</t>
  </si>
  <si>
    <t>狩猟免状</t>
  </si>
  <si>
    <t>空気銃使用実績</t>
  </si>
  <si>
    <t>バイパー</t>
  </si>
  <si>
    <t>購入</t>
  </si>
  <si>
    <t>払入</t>
  </si>
  <si>
    <t>田原市福江・保美(Ｂ7027)</t>
  </si>
  <si>
    <t>田原市和地(Ｂ7122)</t>
  </si>
  <si>
    <t>田原市八王子(Ｂ7172)</t>
  </si>
  <si>
    <t>田原市野田地区(Ｂ7177)</t>
  </si>
  <si>
    <t>田原市浦地区(Ｄ0222)</t>
  </si>
  <si>
    <t>田原市緑が浜(Ｄ0272)</t>
  </si>
  <si>
    <t>田原市若見(Ｂ7122)</t>
  </si>
  <si>
    <t>田原市伊川津(Ｂ7172)</t>
  </si>
  <si>
    <t>田原市長沢(Ｂ7027)</t>
  </si>
  <si>
    <t>田原市西神戸(Ｂ7177)</t>
  </si>
  <si>
    <t>豊田市野原町（D4372）</t>
  </si>
  <si>
    <t>豊田市羽布町（D4322）</t>
  </si>
  <si>
    <t>岡崎市(D2272,D2277)</t>
  </si>
  <si>
    <t>豊橋市(D0272)</t>
  </si>
  <si>
    <t>新城市作手守義地区(Ｄ4377)</t>
  </si>
  <si>
    <t>設楽郡津具村(Ｄ6522)</t>
  </si>
  <si>
    <t>愛知県総合射撃場</t>
  </si>
  <si>
    <t>静岡クレー射撃場</t>
  </si>
  <si>
    <t>東海火薬銃砲店</t>
  </si>
  <si>
    <t>中京銃砲火薬店</t>
  </si>
  <si>
    <t>[名称及び住所、銃所持関連番号記載一覧表]</t>
  </si>
  <si>
    <t>１.　実包等譲受け先及び主な消費場所　（射撃場等）</t>
  </si>
  <si>
    <t>記号</t>
  </si>
  <si>
    <t>銃　番　号</t>
  </si>
  <si>
    <t>名称</t>
  </si>
  <si>
    <t>型式</t>
  </si>
  <si>
    <t>口径</t>
  </si>
  <si>
    <t>①</t>
  </si>
  <si>
    <t>V1333253</t>
  </si>
  <si>
    <t>モスバーグ500コンボ</t>
  </si>
  <si>
    <t>スライド式散弾銃</t>
  </si>
  <si>
    <t>12番</t>
  </si>
  <si>
    <t>標的・狩猟・有害</t>
  </si>
  <si>
    <t>②</t>
  </si>
  <si>
    <t>H0004</t>
  </si>
  <si>
    <t>CTCバイパー</t>
  </si>
  <si>
    <t>プリチャージ式空気銃</t>
  </si>
  <si>
    <t>5.5mm</t>
  </si>
  <si>
    <t>狩猟・有害</t>
  </si>
  <si>
    <t>実包等譲受け先</t>
  </si>
  <si>
    <t>販売店名</t>
  </si>
  <si>
    <t>住　　　　所</t>
  </si>
  <si>
    <t>壱</t>
  </si>
  <si>
    <t>豊橋市南牛川1-23-13</t>
  </si>
  <si>
    <t>弐</t>
  </si>
  <si>
    <t>名古屋市中区千代田3丁目5-4</t>
  </si>
  <si>
    <t>参</t>
  </si>
  <si>
    <t>四</t>
  </si>
  <si>
    <t>五</t>
  </si>
  <si>
    <t>実包等消費場所</t>
  </si>
  <si>
    <t>射撃場名</t>
  </si>
  <si>
    <t>A</t>
  </si>
  <si>
    <t>愛知県豊田市宇連野町ウネ畑12-95</t>
  </si>
  <si>
    <t>B</t>
  </si>
  <si>
    <t>静岡県静岡市駿河区谷田1184</t>
  </si>
  <si>
    <t>C</t>
  </si>
  <si>
    <t>木野さん</t>
  </si>
  <si>
    <r>
      <rPr>
        <sz val="11"/>
        <color theme="1"/>
        <rFont val="ＭＳ Ｐゴシック"/>
        <family val="3"/>
        <charset val="128"/>
      </rPr>
      <t>田原</t>
    </r>
    <r>
      <rPr>
        <sz val="11"/>
        <color theme="1"/>
        <rFont val="ＭＳ ゴシック"/>
        <family val="3"/>
        <charset val="128"/>
      </rPr>
      <t>の方。射撃場で会った</t>
    </r>
  </si>
  <si>
    <t>宮田としのりさん</t>
  </si>
  <si>
    <t>福江</t>
  </si>
  <si>
    <t>会長の親戚</t>
  </si>
  <si>
    <t>萩原さん</t>
  </si>
  <si>
    <t>静岡　清水の猟師</t>
  </si>
  <si>
    <t>大久保さん</t>
  </si>
  <si>
    <t>田原の猟師</t>
  </si>
  <si>
    <t>初ガルの時に会った</t>
  </si>
  <si>
    <t>小久保さん</t>
  </si>
  <si>
    <t>初猟の日の午後から一緒にやった</t>
  </si>
  <si>
    <t>飯田さん</t>
  </si>
  <si>
    <t>イノシシ猟に行った</t>
  </si>
  <si>
    <t>田中さん</t>
  </si>
  <si>
    <t>浜松の人。二回目のイノシシ猟で合った</t>
  </si>
  <si>
    <t>堤さん</t>
  </si>
  <si>
    <r>
      <rPr>
        <sz val="11"/>
        <color theme="1"/>
        <rFont val="ＭＳ ゴシック"/>
        <family val="3"/>
        <charset val="128"/>
      </rPr>
      <t>2019年から</t>
    </r>
    <r>
      <rPr>
        <sz val="11"/>
        <color theme="1"/>
        <rFont val="ＭＳ Ｐゴシック"/>
        <family val="3"/>
        <charset val="128"/>
      </rPr>
      <t>猟</t>
    </r>
    <r>
      <rPr>
        <sz val="11"/>
        <color theme="1"/>
        <rFont val="ＭＳ ゴシック"/>
        <family val="3"/>
        <charset val="128"/>
      </rPr>
      <t>をやめた</t>
    </r>
  </si>
  <si>
    <t>小林さん</t>
  </si>
  <si>
    <t>認定事業で勢子をやってた</t>
  </si>
  <si>
    <t>福井さん</t>
  </si>
  <si>
    <t>小久保さんの狩りグループ</t>
  </si>
  <si>
    <r>
      <rPr>
        <sz val="11"/>
        <color theme="1"/>
        <rFont val="ＭＳ Ｐゴシック"/>
        <family val="3"/>
        <charset val="128"/>
      </rPr>
      <t>磯部</t>
    </r>
    <r>
      <rPr>
        <sz val="11"/>
        <color theme="1"/>
        <rFont val="ＭＳ ゴシック"/>
        <family val="3"/>
        <charset val="128"/>
      </rPr>
      <t>さん（もーがん）</t>
    </r>
  </si>
  <si>
    <r>
      <rPr>
        <sz val="11"/>
        <color theme="1"/>
        <rFont val="ＭＳ Ｐゴシック"/>
        <family val="3"/>
        <charset val="128"/>
      </rPr>
      <t>岡崎</t>
    </r>
    <r>
      <rPr>
        <sz val="11"/>
        <color theme="1"/>
        <rFont val="ＭＳ ゴシック"/>
        <family val="3"/>
        <charset val="128"/>
      </rPr>
      <t>のシカ</t>
    </r>
    <r>
      <rPr>
        <sz val="11"/>
        <color theme="1"/>
        <rFont val="ＭＳ Ｐゴシック"/>
        <family val="3"/>
        <charset val="128"/>
      </rPr>
      <t>狩</t>
    </r>
    <r>
      <rPr>
        <sz val="11"/>
        <color theme="1"/>
        <rFont val="ＭＳ ゴシック"/>
        <family val="3"/>
        <charset val="128"/>
      </rPr>
      <t>りメンバー</t>
    </r>
    <r>
      <rPr>
        <sz val="11"/>
        <color theme="1"/>
        <rFont val="ＭＳ Ｐゴシック"/>
        <family val="3"/>
        <charset val="128"/>
      </rPr>
      <t>（田原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ＭＳ Ｐゴシック"/>
        <family val="3"/>
        <charset val="128"/>
      </rPr>
      <t>認定事業</t>
    </r>
    <r>
      <rPr>
        <sz val="11"/>
        <color theme="1"/>
        <rFont val="ＭＳ ゴシック"/>
        <family val="3"/>
        <charset val="128"/>
      </rPr>
      <t>で</t>
    </r>
    <r>
      <rPr>
        <sz val="11"/>
        <color theme="1"/>
        <rFont val="ＭＳ Ｐゴシック"/>
        <family val="3"/>
        <charset val="128"/>
      </rPr>
      <t>来</t>
    </r>
    <r>
      <rPr>
        <sz val="11"/>
        <color theme="1"/>
        <rFont val="ＭＳ ゴシック"/>
        <family val="3"/>
        <charset val="128"/>
      </rPr>
      <t>ていた</t>
    </r>
    <r>
      <rPr>
        <sz val="11"/>
        <color theme="1"/>
        <rFont val="ＭＳ Ｐゴシック"/>
        <family val="3"/>
        <charset val="128"/>
      </rPr>
      <t>）</t>
    </r>
  </si>
  <si>
    <t>柴田さん</t>
  </si>
  <si>
    <r>
      <rPr>
        <sz val="11"/>
        <color theme="1"/>
        <rFont val="ＭＳ Ｐゴシック"/>
        <family val="3"/>
        <charset val="128"/>
      </rPr>
      <t>岡崎</t>
    </r>
    <r>
      <rPr>
        <sz val="11"/>
        <color theme="1"/>
        <rFont val="ＭＳ ゴシック"/>
        <family val="3"/>
        <charset val="128"/>
      </rPr>
      <t>のシカ</t>
    </r>
    <r>
      <rPr>
        <sz val="11"/>
        <color theme="1"/>
        <rFont val="ＭＳ Ｐゴシック"/>
        <family val="3"/>
        <charset val="128"/>
      </rPr>
      <t>狩</t>
    </r>
    <r>
      <rPr>
        <sz val="11"/>
        <color theme="1"/>
        <rFont val="ＭＳ ゴシック"/>
        <family val="3"/>
        <charset val="128"/>
      </rPr>
      <t>りメンバー</t>
    </r>
    <r>
      <rPr>
        <sz val="11"/>
        <color theme="1"/>
        <rFont val="ＭＳ Ｐゴシック"/>
        <family val="3"/>
        <charset val="128"/>
      </rPr>
      <t>（田原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ＭＳ Ｐゴシック"/>
        <family val="3"/>
        <charset val="128"/>
      </rPr>
      <t>認定事業</t>
    </r>
    <r>
      <rPr>
        <sz val="11"/>
        <color theme="1"/>
        <rFont val="ＭＳ ゴシック"/>
        <family val="3"/>
        <charset val="128"/>
      </rPr>
      <t>で</t>
    </r>
    <r>
      <rPr>
        <sz val="11"/>
        <color theme="1"/>
        <rFont val="ＭＳ Ｐゴシック"/>
        <family val="3"/>
        <charset val="128"/>
      </rPr>
      <t>来</t>
    </r>
    <r>
      <rPr>
        <sz val="11"/>
        <color theme="1"/>
        <rFont val="ＭＳ ゴシック"/>
        <family val="3"/>
        <charset val="128"/>
      </rPr>
      <t>ていた</t>
    </r>
    <r>
      <rPr>
        <sz val="11"/>
        <color theme="1"/>
        <rFont val="ＭＳ Ｐゴシック"/>
        <family val="3"/>
        <charset val="128"/>
      </rPr>
      <t>）。瑞穂メンバー</t>
    </r>
  </si>
  <si>
    <t>北村さん</t>
  </si>
  <si>
    <t>瑞穂のメンバー</t>
  </si>
  <si>
    <t>吉村さん</t>
  </si>
  <si>
    <t>瑞穂メンバー。2021年に銃とった</t>
  </si>
  <si>
    <t>タケイさん</t>
  </si>
  <si>
    <t>2021年認定事業で勢子をやってた。２頭目のイノシシとった時の勢子さん。</t>
  </si>
  <si>
    <t>リュウジさん</t>
  </si>
  <si>
    <t>2023/1/22 津具の巻き狩りの午後ラウンドでマチに案内してもらった</t>
  </si>
  <si>
    <t>別添2-１-2</t>
  </si>
  <si>
    <t>⑦</t>
  </si>
  <si>
    <t>あなたは飲酒しますか</t>
  </si>
  <si>
    <t>■</t>
  </si>
  <si>
    <t>します</t>
  </si>
  <si>
    <t>□</t>
  </si>
  <si>
    <t>しません</t>
  </si>
  <si>
    <t>⑧</t>
  </si>
  <si>
    <t>⑦　で「します」と答えた方へ、　飲酒の頻度を教えてください</t>
  </si>
  <si>
    <t>ほぼ毎日</t>
  </si>
  <si>
    <t>時々</t>
  </si>
  <si>
    <t>　</t>
  </si>
  <si>
    <t>会合程度</t>
  </si>
  <si>
    <t>⑨</t>
  </si>
  <si>
    <t>⑦　で　「 します」と答えた方へ、　飲酒したことで失敗したことはありますか</t>
  </si>
  <si>
    <t>ない</t>
  </si>
  <si>
    <t>ある</t>
  </si>
  <si>
    <t>その他</t>
  </si>
  <si>
    <t>保護された</t>
  </si>
  <si>
    <t>他人と喧嘩になった</t>
  </si>
  <si>
    <t>道路で寝てしまった</t>
  </si>
  <si>
    <t>⑩</t>
  </si>
  <si>
    <t>⑦ 　で 「 します（飲食する）」と答えた方へ、　酒量を教えてください</t>
  </si>
  <si>
    <t>晩酌　：ワイン　200ｍｌ　または　日本酒１合　位</t>
  </si>
  <si>
    <t>⑪</t>
  </si>
  <si>
    <t>あなたはストーカー行為をしたことにより、　警察から注意や警告を受けたことがありますか</t>
  </si>
  <si>
    <t>⑫</t>
  </si>
  <si>
    <t>あなたは悩み事がありますか</t>
  </si>
  <si>
    <t>家族のことで悩みがある</t>
  </si>
  <si>
    <t>仕事のことで悩みがある</t>
  </si>
  <si>
    <t>近所や友人とのことで悩みがある</t>
  </si>
  <si>
    <t>⑬</t>
  </si>
  <si>
    <t>破産手続き開始の決定を受けて復権を得ない者に該当しますか</t>
  </si>
  <si>
    <t>しない</t>
  </si>
  <si>
    <t>する</t>
  </si>
  <si>
    <t>⑭</t>
  </si>
  <si>
    <t>あなたはＤＶ行為者として裁判所から保護命令を受けたことがありますか</t>
  </si>
  <si>
    <t>いつごろ</t>
  </si>
  <si>
    <t>⑮</t>
  </si>
  <si>
    <t>あなたはこれまでに自殺を考えたことがありますか</t>
  </si>
  <si>
    <t>いいえ</t>
  </si>
  <si>
    <t>はい</t>
  </si>
  <si>
    <t>⑯</t>
  </si>
  <si>
    <t>加入団体について該当するものにチェックしてください</t>
  </si>
  <si>
    <t>未加入</t>
  </si>
  <si>
    <t>ライフル射撃協会</t>
  </si>
  <si>
    <t>クレー射撃協会</t>
  </si>
  <si>
    <t>地区猟友会</t>
  </si>
  <si>
    <t>地区射撃協会</t>
  </si>
  <si>
    <r>
      <rPr>
        <sz val="12"/>
        <color theme="1"/>
        <rFont val="ＭＳ Ｐゴシック"/>
        <family val="3"/>
        <charset val="128"/>
      </rPr>
      <t>その他（</t>
    </r>
    <r>
      <rPr>
        <sz val="11"/>
        <color theme="1"/>
        <rFont val="ＭＳ Ｐゴシック"/>
        <family val="3"/>
        <charset val="128"/>
      </rPr>
      <t>愛知連合</t>
    </r>
    <r>
      <rPr>
        <sz val="11"/>
        <color theme="1"/>
        <rFont val="ＭＳ Ｐゴシック"/>
        <family val="3"/>
        <charset val="128"/>
      </rPr>
      <t>猟友会</t>
    </r>
    <r>
      <rPr>
        <sz val="12"/>
        <color theme="1"/>
        <rFont val="ＭＳ Ｐゴシック"/>
        <family val="3"/>
        <charset val="128"/>
      </rPr>
      <t>）</t>
    </r>
  </si>
  <si>
    <t>⑰</t>
  </si>
  <si>
    <t>⑯　の加入団体において役職等があれば、　該当するものにチェックしてください</t>
  </si>
  <si>
    <t>会長</t>
  </si>
  <si>
    <t>副会長</t>
  </si>
  <si>
    <t>その他　　　　　　　　　　　　　　　　　　　　　　　　　　　　　　　　　　　　　　　　　　　　　　　　　　　　　　　</t>
  </si>
  <si>
    <t>（　</t>
  </si>
  <si>
    <t>）</t>
  </si>
  <si>
    <t>⑱</t>
  </si>
  <si>
    <t>あなたの狩猟や射撃時の友人等について名前を教えてください</t>
  </si>
  <si>
    <t>氏名</t>
  </si>
  <si>
    <t>宮田　清一</t>
  </si>
  <si>
    <t>居住地</t>
  </si>
  <si>
    <t>田原市赤羽根町</t>
  </si>
  <si>
    <t>松岡　康之</t>
  </si>
  <si>
    <t>田原市田原町</t>
  </si>
  <si>
    <t>伊藤　あつし</t>
  </si>
  <si>
    <t>田原市西神戸</t>
  </si>
  <si>
    <t>以上</t>
  </si>
  <si>
    <t>別添2-3-1</t>
  </si>
  <si>
    <t>(表)</t>
  </si>
  <si>
    <t>確　認</t>
  </si>
  <si>
    <t>猟銃等検査受検票　（実包・遵守事項関係等）</t>
  </si>
  <si>
    <t>警察官</t>
  </si>
  <si>
    <t>受験者</t>
  </si>
  <si>
    <t>氏　　名</t>
  </si>
  <si>
    <t xml:space="preserve">   鈴　木　　翔　一　郎</t>
  </si>
  <si>
    <t>空気銃のみを所持している方は　該当する箇所のみにチェックしてください</t>
  </si>
  <si>
    <t>銃砲と実包（ライフル実包　散弾実包）を</t>
  </si>
  <si>
    <t>同一建物内で共に保管していますか</t>
  </si>
  <si>
    <t>上記の質問において「はい」と回答された</t>
  </si>
  <si>
    <t>理由</t>
  </si>
  <si>
    <t>*　別棟がない為</t>
  </si>
  <si>
    <t>方は　その理由を簡記してください</t>
  </si>
  <si>
    <t>*　間近に消費予定</t>
  </si>
  <si>
    <t>(間近に使用する予定が有る場合は。その用途及び時期)</t>
  </si>
  <si>
    <r>
      <rPr>
        <b/>
        <sz val="11"/>
        <color theme="1"/>
        <rFont val="ＭＳ Ｐ明朝"/>
        <family val="1"/>
        <charset val="128"/>
      </rPr>
      <t>*　射撃練習　</t>
    </r>
    <r>
      <rPr>
        <b/>
        <sz val="11"/>
        <color rgb="FFFF0000"/>
        <rFont val="ＭＳ Ｐ明朝"/>
        <family val="1"/>
        <charset val="128"/>
      </rPr>
      <t>9月下旬</t>
    </r>
  </si>
  <si>
    <t>銃砲の保管場所</t>
  </si>
  <si>
    <t>例：自宅の2階押入内、○△銃砲店への委託保管</t>
  </si>
  <si>
    <t>自宅 ２Ｆ　書斎押入れ</t>
  </si>
  <si>
    <t>銃砲の保管庫は、一般的に発見しにくい場所に設置されてますか</t>
  </si>
  <si>
    <t>　銃砲と実包</t>
  </si>
  <si>
    <t>銃砲の保管庫は、床や壁に固定されていますか</t>
  </si>
  <si>
    <t>　の保管場所</t>
  </si>
  <si>
    <t>銃砲を保管庫に収納するときは、確実に脱包を確認していますか</t>
  </si>
  <si>
    <t>　保管方法等</t>
  </si>
  <si>
    <t>銃砲を保管庫に収納するときは、分解や先台等の別保管をしていますか</t>
  </si>
  <si>
    <t>　について</t>
  </si>
  <si>
    <t>銃砲を保管庫に収納するときは、チェーン錠による二重や三重ロックをしていますか</t>
  </si>
  <si>
    <t>実包の保管場所</t>
  </si>
  <si>
    <t>例：自宅1階和室</t>
  </si>
  <si>
    <t>自宅 １Ｆ　階段下押入れ</t>
  </si>
  <si>
    <t>実包等の保管庫は、一般的に発見しにくい場所に設置されてますか</t>
  </si>
  <si>
    <t>銃砲や実包等の保管庫の鍵は自ら責任を持って管理していますか</t>
  </si>
  <si>
    <t>銃砲と実包等は別の保管庫で保管していますか</t>
  </si>
  <si>
    <t>帳　　簿</t>
  </si>
  <si>
    <t>３年分の帳簿の保存がありますか</t>
  </si>
  <si>
    <t>消費等した年月日を記載していますか</t>
  </si>
  <si>
    <t>消費等した数量を記載していますか</t>
  </si>
  <si>
    <t>実包の種類（名称,番径）を記載してますか</t>
  </si>
  <si>
    <t>購入や消費した先の住所・所在地を記載してますか</t>
  </si>
  <si>
    <t>購入した場合の相手方の氏名,名称を記載していますか</t>
  </si>
  <si>
    <t>射撃場で実包を消費した場合には、スコアカード等資料を添付していますか</t>
  </si>
  <si>
    <t>別添2-3-2に続きます</t>
  </si>
  <si>
    <t>別添2-3-2</t>
  </si>
  <si>
    <t>（裏）</t>
  </si>
  <si>
    <t>猟場や射撃場に放置駐車した車両内に　</t>
  </si>
  <si>
    <t>していない</t>
  </si>
  <si>
    <t>保管したことがある</t>
  </si>
  <si>
    <t>銃砲や実包・空砲を保管していませんか</t>
  </si>
  <si>
    <t>法律で規定されている数量以上の弾が</t>
  </si>
  <si>
    <t>改造したことがある</t>
  </si>
  <si>
    <t>装てんできるように,改造していませんか</t>
  </si>
  <si>
    <t>消音装置を所持していませんか</t>
  </si>
  <si>
    <t>　所持している</t>
  </si>
  <si>
    <t>遵守事項</t>
  </si>
  <si>
    <t>法律上の許可を受けずに　実包・空砲を</t>
  </si>
  <si>
    <t>譲渡したことがある</t>
  </si>
  <si>
    <t>関係</t>
  </si>
  <si>
    <t>知人に貸したり,譲渡したりしていませんか</t>
  </si>
  <si>
    <r>
      <rPr>
        <sz val="11"/>
        <color theme="1"/>
        <rFont val="ＭＳ Ｐゴシック"/>
        <family val="3"/>
        <charset val="128"/>
      </rPr>
      <t>銃砲を運搬,携帯するときは</t>
    </r>
    <r>
      <rPr>
        <sz val="11"/>
        <color theme="1"/>
        <rFont val="ＭＳ Ｐゴシック"/>
        <family val="3"/>
        <charset val="128"/>
      </rPr>
      <t>,許可証を</t>
    </r>
  </si>
  <si>
    <t>　はい</t>
  </si>
  <si>
    <t>　いいえ</t>
  </si>
  <si>
    <t>一緒に携帯していますか</t>
  </si>
  <si>
    <t>銃砲を携帯運搬するときは,容器に入れるか</t>
  </si>
  <si>
    <t>おおいをかぶせる等の措置をしていますか</t>
  </si>
  <si>
    <t>入手用途</t>
  </si>
  <si>
    <t>許可・無許可別</t>
  </si>
  <si>
    <t>保管数</t>
  </si>
  <si>
    <t>入手日</t>
  </si>
  <si>
    <t>消費・交付予定日</t>
  </si>
  <si>
    <t>狩　猟</t>
  </si>
  <si>
    <t>■　公安委員会許可</t>
  </si>
  <si>
    <t>個</t>
  </si>
  <si>
    <t>R1</t>
  </si>
  <si>
    <t>　　（警察による許可）</t>
  </si>
  <si>
    <t>R2年度に狩猟で
消費予定</t>
  </si>
  <si>
    <t>□　　　　無許可</t>
  </si>
  <si>
    <t>　　　（無許可譲受票）</t>
  </si>
  <si>
    <t>標的射撃</t>
  </si>
  <si>
    <t>(公安委員会許可)</t>
  </si>
  <si>
    <t>R2</t>
  </si>
  <si>
    <t>下旬ころ</t>
  </si>
  <si>
    <t>有害駆除</t>
  </si>
  <si>
    <t>□　公安委員会許可</t>
  </si>
  <si>
    <t>未購入</t>
  </si>
  <si>
    <t>　自　宅　で</t>
  </si>
  <si>
    <t>　保管している</t>
  </si>
  <si>
    <t>火薬類</t>
  </si>
  <si>
    <t>□　無煙火薬　　　　　　グラム</t>
  </si>
  <si>
    <t>銃用</t>
  </si>
  <si>
    <t>□　黒色火薬　　　　　　グラム</t>
  </si>
  <si>
    <t>雷管</t>
  </si>
  <si>
    <t>　実 包 数 等</t>
  </si>
  <si>
    <t>合計</t>
  </si>
  <si>
    <t>　　実包（空包）　　　　　　　　　　　　５　個</t>
  </si>
  <si>
    <t>グラム</t>
  </si>
  <si>
    <t>自宅保管中の実包等の措置</t>
  </si>
  <si>
    <t>□　残火薬として銃砲火薬店へ廃棄予定</t>
  </si>
  <si>
    <r>
      <rPr>
        <sz val="11"/>
        <color theme="1"/>
        <rFont val="ＭＳ Ｐゴシック"/>
        <family val="3"/>
        <charset val="128"/>
      </rPr>
      <t>■　近日中に消費予定(予定日</t>
    </r>
    <r>
      <rPr>
        <sz val="11"/>
        <color rgb="FFFF0000"/>
        <rFont val="ＭＳ Ｐゴシック"/>
        <family val="3"/>
        <charset val="128"/>
      </rPr>
      <t>9月</t>
    </r>
    <r>
      <rPr>
        <sz val="11"/>
        <color theme="1"/>
        <rFont val="ＭＳ Ｐゴシック"/>
        <family val="3"/>
        <charset val="128"/>
      </rPr>
      <t>下</t>
    </r>
    <r>
      <rPr>
        <sz val="11"/>
        <color theme="1"/>
        <rFont val="ＭＳ Ｐ明朝"/>
        <family val="1"/>
        <charset val="128"/>
      </rPr>
      <t>旬</t>
    </r>
    <r>
      <rPr>
        <sz val="11"/>
        <color theme="1"/>
        <rFont val="ＭＳ Ｐゴシック"/>
        <family val="3"/>
        <charset val="128"/>
      </rPr>
      <t>日ころ</t>
    </r>
    <r>
      <rPr>
        <sz val="11"/>
        <color theme="1"/>
        <rFont val="游ゴシック"/>
        <family val="3"/>
        <charset val="128"/>
      </rPr>
      <t>)射撃装弾</t>
    </r>
  </si>
  <si>
    <r>
      <rPr>
        <sz val="11"/>
        <color theme="1"/>
        <rFont val="ＭＳ Ｐゴシック"/>
        <family val="3"/>
        <charset val="128"/>
      </rPr>
      <t>■　その他（</t>
    </r>
    <r>
      <rPr>
        <sz val="11"/>
        <color rgb="FFFF0000"/>
        <rFont val="ＭＳ Ｐゴシック"/>
        <family val="3"/>
        <charset val="128"/>
      </rPr>
      <t>R2</t>
    </r>
    <r>
      <rPr>
        <sz val="11"/>
        <color theme="1"/>
        <rFont val="ＭＳ Ｐゴシック"/>
        <family val="3"/>
        <charset val="128"/>
      </rPr>
      <t>年度狩猟で消費予定）狩猟装弾</t>
    </r>
  </si>
  <si>
    <t>愛知県内では　自動車盗　住宅対象侵入盗が多発しており　全国的には　銃砲と適合実包が同時に</t>
  </si>
  <si>
    <t>盗難被害となる事件が発生しています。</t>
  </si>
  <si>
    <t>銃砲及実包等の保管管理を徹底してください。</t>
  </si>
  <si>
    <t>カルガモ3</t>
  </si>
  <si>
    <t>田原市一円</t>
  </si>
  <si>
    <t>田原市宇津江</t>
  </si>
  <si>
    <t>田原市野田</t>
  </si>
  <si>
    <t>富士国際岩本山総合射撃場</t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</si>
</sst>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;[Red]\-0\ "/>
    <numFmt numFmtId="177" formatCode="yyyy/m/d;@"/>
    <numFmt numFmtId="178" formatCode="#,##0;[Red]#,##0"/>
  </numFmts>
  <fonts count="36">
    <font>
      <sz val="11"/>
      <color theme="1"/>
      <name val="Arial"/>
      <charset val="134"/>
    </font>
    <font>
      <sz val="11"/>
      <color theme="1"/>
      <name val="MS PGothic"/>
      <family val="2"/>
    </font>
    <font>
      <b/>
      <sz val="12"/>
      <color theme="1"/>
      <name val="MS PGothic"/>
      <family val="3"/>
    </font>
    <font>
      <sz val="11"/>
      <name val="Arial"/>
      <family val="2"/>
    </font>
    <font>
      <b/>
      <sz val="13"/>
      <color theme="1"/>
      <name val="MS PGothic"/>
      <family val="3"/>
    </font>
    <font>
      <sz val="11"/>
      <color theme="1"/>
      <name val="MS PMincho"/>
      <family val="2"/>
    </font>
    <font>
      <b/>
      <sz val="11"/>
      <color theme="1"/>
      <name val="MS PMincho"/>
      <family val="1"/>
    </font>
    <font>
      <sz val="10"/>
      <color theme="1"/>
      <name val="MS PGothic"/>
      <family val="3"/>
    </font>
    <font>
      <b/>
      <sz val="11"/>
      <color theme="1"/>
      <name val="MS PGothic"/>
      <family val="3"/>
    </font>
    <font>
      <b/>
      <sz val="12"/>
      <color theme="1"/>
      <name val="MS PMincho"/>
      <family val="1"/>
    </font>
    <font>
      <sz val="9"/>
      <color theme="1"/>
      <name val="MS PGothic"/>
      <family val="3"/>
    </font>
    <font>
      <sz val="11"/>
      <color rgb="FFFF0000"/>
      <name val="MS PMincho"/>
      <family val="1"/>
    </font>
    <font>
      <sz val="12"/>
      <color theme="1"/>
      <name val="MS PGothic"/>
      <family val="3"/>
    </font>
    <font>
      <b/>
      <sz val="14"/>
      <color theme="1"/>
      <name val="MS PGothic"/>
      <family val="3"/>
    </font>
    <font>
      <sz val="8"/>
      <color theme="1"/>
      <name val="MS PGothic"/>
      <family val="3"/>
    </font>
    <font>
      <b/>
      <sz val="14"/>
      <color theme="1"/>
      <name val="MS PMincho"/>
      <family val="1"/>
    </font>
    <font>
      <sz val="12"/>
      <color theme="1"/>
      <name val="MS PMincho"/>
      <family val="1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b/>
      <sz val="13"/>
      <color theme="1"/>
      <name val="MS PMincho"/>
      <family val="1"/>
    </font>
    <font>
      <b/>
      <sz val="16"/>
      <color theme="1"/>
      <name val="MS PMincho"/>
      <family val="1"/>
    </font>
    <font>
      <b/>
      <u/>
      <sz val="11"/>
      <color rgb="FF800000"/>
      <name val="MS PMincho"/>
      <family val="1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u/>
      <sz val="16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36"/>
      <color theme="1"/>
      <name val="MS PMincho"/>
      <family val="1"/>
    </font>
    <font>
      <sz val="14"/>
      <color theme="1"/>
      <name val="MS PMincho"/>
      <family val="1"/>
    </font>
    <font>
      <sz val="11"/>
      <color rgb="FFFF0000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3"/>
      <charset val="128"/>
    </font>
    <font>
      <b/>
      <sz val="11"/>
      <color theme="1"/>
      <name val="ＭＳ Ｐ明朝"/>
      <family val="1"/>
      <charset val="128"/>
    </font>
    <font>
      <b/>
      <sz val="11"/>
      <color rgb="FFFF0000"/>
      <name val="ＭＳ Ｐ明朝"/>
      <family val="1"/>
      <charset val="128"/>
    </font>
    <font>
      <sz val="12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347">
    <xf numFmtId="0" fontId="0" fillId="0" borderId="0" xfId="0" applyAlignment="1">
      <alignment vertical="center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9" xfId="0" applyFont="1" applyBorder="1" applyAlignment="1">
      <alignment vertical="top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3" xfId="0" applyFont="1" applyBorder="1" applyAlignment="1">
      <alignment vertical="top"/>
    </xf>
    <xf numFmtId="0" fontId="2" fillId="0" borderId="1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2" fillId="0" borderId="0" xfId="0" applyFont="1" applyAlignment="1">
      <alignment vertical="top"/>
    </xf>
    <xf numFmtId="0" fontId="14" fillId="0" borderId="24" xfId="0" applyFont="1" applyBorder="1" applyAlignment="1">
      <alignment vertical="center" textRotation="255"/>
    </xf>
    <xf numFmtId="0" fontId="1" fillId="0" borderId="0" xfId="0" applyFont="1" applyAlignment="1">
      <alignment horizontal="center" vertical="center" textRotation="255"/>
    </xf>
    <xf numFmtId="0" fontId="8" fillId="0" borderId="0" xfId="0" applyFont="1" applyAlignment="1">
      <alignment vertical="center"/>
    </xf>
    <xf numFmtId="0" fontId="1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1" fillId="0" borderId="25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5" fillId="0" borderId="10" xfId="0" applyFont="1" applyBorder="1" applyAlignment="1">
      <alignment vertical="center"/>
    </xf>
    <xf numFmtId="0" fontId="1" fillId="0" borderId="26" xfId="0" applyFont="1" applyBorder="1" applyAlignment="1">
      <alignment horizontal="left" vertical="top"/>
    </xf>
    <xf numFmtId="0" fontId="8" fillId="0" borderId="2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1" fillId="0" borderId="3" xfId="0" applyFont="1" applyBorder="1" applyAlignment="1">
      <alignment vertical="top"/>
    </xf>
    <xf numFmtId="0" fontId="5" fillId="0" borderId="11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6" fillId="0" borderId="37" xfId="0" applyFont="1" applyBorder="1" applyAlignment="1">
      <alignment vertical="center"/>
    </xf>
    <xf numFmtId="0" fontId="16" fillId="0" borderId="38" xfId="0" applyFont="1" applyBorder="1" applyAlignment="1">
      <alignment vertical="center"/>
    </xf>
    <xf numFmtId="0" fontId="16" fillId="0" borderId="3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78" fontId="5" fillId="0" borderId="40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 shrinkToFit="1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0" xfId="0" applyFont="1" applyBorder="1" applyAlignment="1">
      <alignment vertical="center" shrinkToFit="1"/>
    </xf>
    <xf numFmtId="0" fontId="5" fillId="0" borderId="49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0" xfId="0" applyFont="1" applyAlignment="1">
      <alignment vertical="center" shrinkToFit="1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11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4" xfId="0" applyFont="1" applyBorder="1" applyAlignment="1">
      <alignment vertical="center" shrinkToFit="1"/>
    </xf>
    <xf numFmtId="0" fontId="23" fillId="0" borderId="0" xfId="0" applyFont="1" applyAlignment="1">
      <alignment horizontal="right" vertical="center"/>
    </xf>
    <xf numFmtId="14" fontId="23" fillId="0" borderId="0" xfId="0" applyNumberFormat="1" applyFont="1" applyAlignment="1">
      <alignment horizontal="left" vertical="center"/>
    </xf>
    <xf numFmtId="0" fontId="23" fillId="0" borderId="52" xfId="0" applyFont="1" applyBorder="1" applyAlignment="1">
      <alignment horizontal="left" vertical="center" shrinkToFit="1"/>
    </xf>
    <xf numFmtId="0" fontId="23" fillId="0" borderId="53" xfId="0" applyFont="1" applyBorder="1" applyAlignment="1">
      <alignment horizontal="left" vertical="center" shrinkToFit="1"/>
    </xf>
    <xf numFmtId="0" fontId="23" fillId="0" borderId="54" xfId="0" applyFont="1" applyBorder="1" applyAlignment="1">
      <alignment horizontal="centerContinuous" vertical="center" shrinkToFit="1"/>
    </xf>
    <xf numFmtId="0" fontId="23" fillId="0" borderId="54" xfId="0" applyFont="1" applyBorder="1" applyAlignment="1">
      <alignment vertical="center" shrinkToFit="1"/>
    </xf>
    <xf numFmtId="177" fontId="23" fillId="0" borderId="6" xfId="0" applyNumberFormat="1" applyFont="1" applyBorder="1" applyAlignment="1">
      <alignment horizontal="left" vertical="center" shrinkToFit="1"/>
    </xf>
    <xf numFmtId="176" fontId="23" fillId="0" borderId="45" xfId="0" applyNumberFormat="1" applyFont="1" applyBorder="1" applyAlignment="1">
      <alignment horizontal="left" vertical="center" shrinkToFit="1"/>
    </xf>
    <xf numFmtId="0" fontId="23" fillId="0" borderId="55" xfId="0" applyFont="1" applyBorder="1" applyAlignment="1">
      <alignment horizontal="left" vertical="center" shrinkToFit="1"/>
    </xf>
    <xf numFmtId="0" fontId="23" fillId="0" borderId="55" xfId="0" applyFont="1" applyBorder="1" applyAlignment="1">
      <alignment horizontal="center" vertical="center"/>
    </xf>
    <xf numFmtId="0" fontId="23" fillId="0" borderId="55" xfId="0" applyFont="1" applyBorder="1" applyAlignment="1">
      <alignment vertical="center" shrinkToFit="1"/>
    </xf>
    <xf numFmtId="177" fontId="23" fillId="0" borderId="7" xfId="0" applyNumberFormat="1" applyFont="1" applyBorder="1" applyAlignment="1">
      <alignment horizontal="left" vertical="center" shrinkToFit="1"/>
    </xf>
    <xf numFmtId="176" fontId="23" fillId="0" borderId="40" xfId="0" applyNumberFormat="1" applyFont="1" applyBorder="1" applyAlignment="1">
      <alignment horizontal="left" vertical="center" shrinkToFit="1"/>
    </xf>
    <xf numFmtId="0" fontId="23" fillId="0" borderId="24" xfId="0" applyFont="1" applyBorder="1" applyAlignment="1">
      <alignment horizontal="left" vertical="center" shrinkToFit="1"/>
    </xf>
    <xf numFmtId="0" fontId="23" fillId="0" borderId="24" xfId="0" applyFont="1" applyBorder="1" applyAlignment="1">
      <alignment horizontal="center" vertical="center"/>
    </xf>
    <xf numFmtId="14" fontId="23" fillId="0" borderId="0" xfId="0" applyNumberFormat="1" applyFont="1" applyAlignment="1">
      <alignment horizontal="left" vertical="center" shrinkToFit="1"/>
    </xf>
    <xf numFmtId="0" fontId="23" fillId="0" borderId="0" xfId="0" applyFont="1" applyAlignment="1">
      <alignment vertical="center" shrinkToFit="1"/>
    </xf>
    <xf numFmtId="14" fontId="23" fillId="0" borderId="40" xfId="0" applyNumberFormat="1" applyFont="1" applyBorder="1" applyAlignment="1">
      <alignment horizontal="centerContinuous" vertical="center" shrinkToFit="1"/>
    </xf>
    <xf numFmtId="0" fontId="23" fillId="0" borderId="40" xfId="0" applyFont="1" applyBorder="1" applyAlignment="1">
      <alignment horizontal="center" vertical="center" shrinkToFit="1"/>
    </xf>
    <xf numFmtId="0" fontId="23" fillId="0" borderId="0" xfId="0" applyFont="1" applyAlignment="1">
      <alignment horizontal="left" vertical="center"/>
    </xf>
    <xf numFmtId="14" fontId="17" fillId="0" borderId="0" xfId="0" applyNumberFormat="1" applyFont="1" applyAlignment="1">
      <alignment vertical="center"/>
    </xf>
    <xf numFmtId="0" fontId="17" fillId="0" borderId="57" xfId="0" applyFont="1" applyBorder="1" applyAlignment="1">
      <alignment vertical="center"/>
    </xf>
    <xf numFmtId="14" fontId="1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3" borderId="58" xfId="0" applyFont="1" applyFill="1" applyBorder="1" applyAlignment="1">
      <alignment horizontal="centerContinuous" vertical="center" shrinkToFit="1"/>
    </xf>
    <xf numFmtId="0" fontId="23" fillId="0" borderId="52" xfId="0" applyFont="1" applyBorder="1" applyAlignment="1">
      <alignment horizontal="center" vertical="center"/>
    </xf>
    <xf numFmtId="0" fontId="23" fillId="3" borderId="59" xfId="0" applyFont="1" applyFill="1" applyBorder="1" applyAlignment="1">
      <alignment horizontal="centerContinuous" vertical="center" shrinkToFit="1"/>
    </xf>
    <xf numFmtId="0" fontId="23" fillId="3" borderId="60" xfId="0" applyFont="1" applyFill="1" applyBorder="1" applyAlignment="1">
      <alignment vertical="center" shrinkToFit="1"/>
    </xf>
    <xf numFmtId="0" fontId="23" fillId="0" borderId="40" xfId="0" applyFont="1" applyBorder="1" applyAlignment="1">
      <alignment horizontal="center" vertical="center"/>
    </xf>
    <xf numFmtId="0" fontId="23" fillId="3" borderId="58" xfId="0" applyFont="1" applyFill="1" applyBorder="1" applyAlignment="1">
      <alignment vertical="center" shrinkToFit="1"/>
    </xf>
    <xf numFmtId="20" fontId="23" fillId="0" borderId="0" xfId="0" applyNumberFormat="1" applyFont="1" applyAlignment="1">
      <alignment vertical="center"/>
    </xf>
    <xf numFmtId="0" fontId="23" fillId="3" borderId="40" xfId="0" applyFont="1" applyFill="1" applyBorder="1" applyAlignment="1">
      <alignment vertical="center" shrinkToFit="1"/>
    </xf>
    <xf numFmtId="0" fontId="23" fillId="3" borderId="53" xfId="0" applyFont="1" applyFill="1" applyBorder="1" applyAlignment="1">
      <alignment vertical="center" shrinkToFit="1"/>
    </xf>
    <xf numFmtId="176" fontId="23" fillId="3" borderId="45" xfId="0" applyNumberFormat="1" applyFont="1" applyFill="1" applyBorder="1" applyAlignment="1">
      <alignment horizontal="left" vertical="center" shrinkToFit="1"/>
    </xf>
    <xf numFmtId="176" fontId="23" fillId="3" borderId="40" xfId="0" applyNumberFormat="1" applyFont="1" applyFill="1" applyBorder="1" applyAlignment="1">
      <alignment horizontal="left" vertical="center" shrinkToFit="1"/>
    </xf>
    <xf numFmtId="0" fontId="23" fillId="0" borderId="49" xfId="0" applyFont="1" applyBorder="1" applyAlignment="1">
      <alignment horizontal="center" vertical="center" shrinkToFit="1"/>
    </xf>
    <xf numFmtId="0" fontId="23" fillId="3" borderId="7" xfId="0" applyFont="1" applyFill="1" applyBorder="1" applyAlignment="1">
      <alignment horizontal="centerContinuous" vertical="center" shrinkToFit="1"/>
    </xf>
    <xf numFmtId="0" fontId="23" fillId="3" borderId="10" xfId="0" applyFont="1" applyFill="1" applyBorder="1" applyAlignment="1">
      <alignment horizontal="centerContinuous" vertical="center" shrinkToFit="1"/>
    </xf>
    <xf numFmtId="0" fontId="23" fillId="3" borderId="61" xfId="0" applyFont="1" applyFill="1" applyBorder="1" applyAlignment="1">
      <alignment horizontal="centerContinuous" vertical="center" shrinkToFit="1"/>
    </xf>
    <xf numFmtId="0" fontId="23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3" fillId="3" borderId="53" xfId="0" applyFont="1" applyFill="1" applyBorder="1" applyAlignment="1">
      <alignment horizontal="left" vertical="center" shrinkToFit="1"/>
    </xf>
    <xf numFmtId="176" fontId="23" fillId="3" borderId="62" xfId="0" applyNumberFormat="1" applyFont="1" applyFill="1" applyBorder="1" applyAlignment="1">
      <alignment horizontal="left" vertical="center" shrinkToFit="1"/>
    </xf>
    <xf numFmtId="14" fontId="23" fillId="0" borderId="7" xfId="0" applyNumberFormat="1" applyFont="1" applyBorder="1" applyAlignment="1">
      <alignment horizontal="center" vertical="center" shrinkToFit="1"/>
    </xf>
    <xf numFmtId="14" fontId="23" fillId="0" borderId="3" xfId="0" applyNumberFormat="1" applyFont="1" applyBorder="1" applyAlignment="1">
      <alignment horizontal="center" vertical="center" shrinkToFit="1"/>
    </xf>
    <xf numFmtId="14" fontId="23" fillId="0" borderId="0" xfId="0" applyNumberFormat="1" applyFont="1" applyAlignment="1">
      <alignment horizontal="centerContinuous" vertical="center" shrinkToFit="1"/>
    </xf>
    <xf numFmtId="0" fontId="23" fillId="0" borderId="46" xfId="0" applyFont="1" applyBorder="1" applyAlignment="1">
      <alignment horizontal="center" vertical="center" shrinkToFit="1"/>
    </xf>
    <xf numFmtId="0" fontId="23" fillId="0" borderId="63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23" fillId="4" borderId="7" xfId="0" applyFont="1" applyFill="1" applyBorder="1" applyAlignment="1">
      <alignment horizontal="centerContinuous" vertical="center" shrinkToFit="1"/>
    </xf>
    <xf numFmtId="0" fontId="23" fillId="4" borderId="10" xfId="0" applyFont="1" applyFill="1" applyBorder="1" applyAlignment="1">
      <alignment horizontal="centerContinuous" vertical="center" shrinkToFit="1"/>
    </xf>
    <xf numFmtId="0" fontId="23" fillId="4" borderId="61" xfId="0" applyFont="1" applyFill="1" applyBorder="1" applyAlignment="1">
      <alignment horizontal="centerContinuous" vertical="center" shrinkToFit="1"/>
    </xf>
    <xf numFmtId="0" fontId="23" fillId="4" borderId="60" xfId="0" applyFont="1" applyFill="1" applyBorder="1" applyAlignment="1">
      <alignment vertical="center"/>
    </xf>
    <xf numFmtId="0" fontId="23" fillId="4" borderId="60" xfId="0" applyFont="1" applyFill="1" applyBorder="1" applyAlignment="1">
      <alignment vertical="center" shrinkToFit="1"/>
    </xf>
    <xf numFmtId="0" fontId="23" fillId="4" borderId="58" xfId="0" applyFont="1" applyFill="1" applyBorder="1" applyAlignment="1">
      <alignment vertical="center" shrinkToFit="1"/>
    </xf>
    <xf numFmtId="0" fontId="23" fillId="4" borderId="40" xfId="0" applyFont="1" applyFill="1" applyBorder="1" applyAlignment="1">
      <alignment vertical="center" shrinkToFit="1"/>
    </xf>
    <xf numFmtId="0" fontId="23" fillId="4" borderId="58" xfId="0" applyFont="1" applyFill="1" applyBorder="1" applyAlignment="1">
      <alignment vertical="center"/>
    </xf>
    <xf numFmtId="0" fontId="23" fillId="4" borderId="53" xfId="0" applyFont="1" applyFill="1" applyBorder="1" applyAlignment="1">
      <alignment horizontal="left" vertical="center" shrinkToFit="1"/>
    </xf>
    <xf numFmtId="176" fontId="23" fillId="4" borderId="45" xfId="0" applyNumberFormat="1" applyFont="1" applyFill="1" applyBorder="1" applyAlignment="1">
      <alignment horizontal="left" vertical="center" shrinkToFit="1"/>
    </xf>
    <xf numFmtId="176" fontId="23" fillId="4" borderId="40" xfId="0" applyNumberFormat="1" applyFont="1" applyFill="1" applyBorder="1" applyAlignment="1">
      <alignment horizontal="left" vertical="center" shrinkToFit="1"/>
    </xf>
    <xf numFmtId="176" fontId="23" fillId="4" borderId="62" xfId="0" applyNumberFormat="1" applyFont="1" applyFill="1" applyBorder="1" applyAlignment="1">
      <alignment horizontal="left" vertical="center" shrinkToFit="1"/>
    </xf>
    <xf numFmtId="0" fontId="23" fillId="0" borderId="64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7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2" fillId="0" borderId="21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71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0" borderId="72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3" fillId="3" borderId="49" xfId="0" applyFont="1" applyFill="1" applyBorder="1" applyAlignment="1">
      <alignment horizontal="center" vertical="center" shrinkToFit="1"/>
    </xf>
    <xf numFmtId="0" fontId="23" fillId="3" borderId="50" xfId="0" applyFont="1" applyFill="1" applyBorder="1" applyAlignment="1">
      <alignment horizontal="center" vertical="center" shrinkToFit="1"/>
    </xf>
    <xf numFmtId="0" fontId="23" fillId="3" borderId="51" xfId="0" applyFont="1" applyFill="1" applyBorder="1" applyAlignment="1">
      <alignment horizontal="center" vertical="center" shrinkToFit="1"/>
    </xf>
    <xf numFmtId="0" fontId="23" fillId="4" borderId="49" xfId="0" applyFont="1" applyFill="1" applyBorder="1" applyAlignment="1">
      <alignment horizontal="center" vertical="center" shrinkToFit="1"/>
    </xf>
    <xf numFmtId="0" fontId="23" fillId="4" borderId="50" xfId="0" applyFont="1" applyFill="1" applyBorder="1" applyAlignment="1">
      <alignment horizontal="center" vertical="center" shrinkToFit="1"/>
    </xf>
    <xf numFmtId="14" fontId="23" fillId="0" borderId="56" xfId="0" applyNumberFormat="1" applyFont="1" applyBorder="1" applyAlignment="1">
      <alignment horizontal="center" vertical="center" shrinkToFit="1"/>
    </xf>
    <xf numFmtId="14" fontId="23" fillId="0" borderId="50" xfId="0" applyNumberFormat="1" applyFont="1" applyBorder="1" applyAlignment="1">
      <alignment horizontal="center" vertical="center" shrinkToFit="1"/>
    </xf>
    <xf numFmtId="0" fontId="22" fillId="0" borderId="4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12" fillId="0" borderId="21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top"/>
    </xf>
    <xf numFmtId="0" fontId="1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4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7" fillId="0" borderId="18" xfId="0" applyFont="1" applyBorder="1" applyAlignment="1">
      <alignment vertical="center" textRotation="255"/>
    </xf>
    <xf numFmtId="0" fontId="3" fillId="0" borderId="19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0" fontId="1" fillId="0" borderId="17" xfId="0" applyFont="1" applyBorder="1" applyAlignment="1">
      <alignment vertical="center"/>
    </xf>
    <xf numFmtId="0" fontId="1" fillId="0" borderId="8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center"/>
    </xf>
    <xf numFmtId="0" fontId="1" fillId="0" borderId="2" xfId="0" applyFont="1" applyBorder="1" applyAlignment="1">
      <alignment vertical="top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N23" sqref="N23"/>
    </sheetView>
  </sheetViews>
  <sheetFormatPr defaultColWidth="12.59765625" defaultRowHeight="15" customHeight="1"/>
  <cols>
    <col min="1" max="13" width="6" customWidth="1"/>
    <col min="14" max="26" width="7.69921875" customWidth="1"/>
  </cols>
  <sheetData>
    <row r="1" spans="1:26" ht="13.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242" t="s">
        <v>0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4"/>
      <c r="N5" s="11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245"/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7"/>
      <c r="N6" s="11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7"/>
      <c r="N7" s="11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245"/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7"/>
      <c r="N8" s="1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245"/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7"/>
      <c r="N9" s="1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248"/>
      <c r="B10" s="249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50"/>
      <c r="N10" s="1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>
      <c r="A15" s="112"/>
      <c r="B15" s="209" t="s">
        <v>1</v>
      </c>
      <c r="C15" s="210"/>
      <c r="D15" s="210">
        <v>2019</v>
      </c>
      <c r="E15" s="210" t="s">
        <v>2</v>
      </c>
      <c r="F15" s="210">
        <v>10</v>
      </c>
      <c r="G15" s="210" t="s">
        <v>3</v>
      </c>
      <c r="H15" s="210">
        <v>26</v>
      </c>
      <c r="I15" s="210" t="s">
        <v>4</v>
      </c>
      <c r="J15" s="210"/>
      <c r="K15" s="239"/>
      <c r="L15" s="216"/>
      <c r="M15" s="112"/>
      <c r="N15" s="11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>
      <c r="A16" s="112"/>
      <c r="B16" s="211" t="s">
        <v>5</v>
      </c>
      <c r="C16" s="212"/>
      <c r="D16" s="212">
        <v>2021</v>
      </c>
      <c r="E16" s="212" t="s">
        <v>2</v>
      </c>
      <c r="F16" s="212">
        <v>4</v>
      </c>
      <c r="G16" s="212" t="s">
        <v>3</v>
      </c>
      <c r="H16" s="212">
        <v>19</v>
      </c>
      <c r="I16" s="212" t="s">
        <v>4</v>
      </c>
      <c r="J16" s="212"/>
      <c r="K16" s="112"/>
      <c r="L16" s="217"/>
      <c r="M16" s="112"/>
      <c r="N16" s="1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>
      <c r="A17" s="112"/>
      <c r="B17" s="213" t="s">
        <v>6</v>
      </c>
      <c r="C17" s="214"/>
      <c r="D17" s="214"/>
      <c r="E17" s="214"/>
      <c r="F17" s="215"/>
      <c r="G17" s="213" t="s">
        <v>7</v>
      </c>
      <c r="H17" s="214"/>
      <c r="I17" s="214"/>
      <c r="J17" s="214"/>
      <c r="K17" s="214"/>
      <c r="L17" s="65"/>
      <c r="M17" s="112"/>
      <c r="N17" s="11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>
      <c r="A18" s="112"/>
      <c r="B18" s="213" t="s">
        <v>8</v>
      </c>
      <c r="C18" s="214"/>
      <c r="D18" s="214"/>
      <c r="E18" s="214"/>
      <c r="F18" s="215"/>
      <c r="G18" s="213" t="s">
        <v>9</v>
      </c>
      <c r="H18" s="214"/>
      <c r="I18" s="214"/>
      <c r="J18" s="214"/>
      <c r="K18" s="214"/>
      <c r="L18" s="65"/>
      <c r="M18" s="112"/>
      <c r="N18" s="11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>
      <c r="A19" s="112"/>
      <c r="B19" s="213" t="s">
        <v>10</v>
      </c>
      <c r="C19" s="214"/>
      <c r="D19" s="214"/>
      <c r="E19" s="214"/>
      <c r="F19" s="215"/>
      <c r="G19" s="213" t="s">
        <v>11</v>
      </c>
      <c r="H19" s="214"/>
      <c r="I19" s="214"/>
      <c r="J19" s="214"/>
      <c r="K19" s="214"/>
      <c r="L19" s="65"/>
      <c r="M19" s="112"/>
      <c r="N19" s="1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>
      <c r="A20" s="112"/>
      <c r="B20" s="213" t="s">
        <v>12</v>
      </c>
      <c r="C20" s="214"/>
      <c r="D20" s="214"/>
      <c r="E20" s="214"/>
      <c r="F20" s="215"/>
      <c r="G20" s="213" t="s">
        <v>13</v>
      </c>
      <c r="H20" s="214"/>
      <c r="I20" s="214"/>
      <c r="J20" s="214"/>
      <c r="K20" s="214"/>
      <c r="L20" s="65"/>
      <c r="M20" s="112"/>
      <c r="N20" s="1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12"/>
      <c r="B28" s="212" t="s">
        <v>14</v>
      </c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12"/>
      <c r="B30" s="112"/>
      <c r="C30" s="112"/>
      <c r="D30" s="112"/>
      <c r="E30" s="112"/>
      <c r="F30" s="112"/>
      <c r="G30" s="212" t="s">
        <v>15</v>
      </c>
      <c r="H30" s="112"/>
      <c r="I30" s="112"/>
      <c r="J30" s="112"/>
      <c r="K30" s="112"/>
      <c r="L30" s="112"/>
      <c r="M30" s="112"/>
      <c r="N30" s="11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M10"/>
  </mergeCells>
  <phoneticPr fontId="35"/>
  <pageMargins left="0.70763888888888904" right="0.70763888888888904" top="0.74791666666666701" bottom="0.74791666666666701" header="0" footer="0"/>
  <pageSetup paperSize="9" scale="93" fitToHeight="0" orientation="portrait"/>
  <headerFooter>
    <oddFooter>&amp;C&amp;P / 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8"/>
  <sheetViews>
    <sheetView tabSelected="1" view="pageBreakPreview" zoomScale="85" zoomScaleNormal="100" zoomScaleSheetLayoutView="85" workbookViewId="0">
      <pane xSplit="3" ySplit="11" topLeftCell="M12" activePane="bottomRight" state="frozen"/>
      <selection pane="topRight"/>
      <selection pane="bottomLeft"/>
      <selection pane="bottomRight" activeCell="O12" sqref="O12"/>
    </sheetView>
  </sheetViews>
  <sheetFormatPr defaultColWidth="12.59765625" defaultRowHeight="15" customHeight="1" outlineLevelRow="1" outlineLevelCol="1"/>
  <cols>
    <col min="1" max="1" width="1.5" style="142" customWidth="1"/>
    <col min="2" max="2" width="12.296875" style="142" customWidth="1"/>
    <col min="3" max="3" width="9.19921875" style="142" customWidth="1"/>
    <col min="4" max="5" width="7.3984375" style="165" customWidth="1"/>
    <col min="6" max="8" width="7.3984375" style="165" customWidth="1" outlineLevel="1"/>
    <col min="9" max="10" width="7.3984375" style="165" customWidth="1"/>
    <col min="11" max="14" width="7.3984375" style="165" customWidth="1" outlineLevel="1"/>
    <col min="15" max="15" width="19.19921875" style="142" customWidth="1"/>
    <col min="16" max="16" width="7.69921875" style="142" customWidth="1"/>
    <col min="17" max="17" width="23.5" style="142" customWidth="1"/>
    <col min="18" max="22" width="7.69921875" style="142" customWidth="1"/>
    <col min="23" max="16384" width="12.59765625" style="142"/>
  </cols>
  <sheetData>
    <row r="1" spans="2:17" ht="14.25" customHeight="1">
      <c r="B1" s="255" t="s">
        <v>16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146"/>
      <c r="P1" s="146" t="s">
        <v>17</v>
      </c>
      <c r="Q1" s="147">
        <f>MIN(B12:B51)</f>
        <v>45957</v>
      </c>
    </row>
    <row r="2" spans="2:17" ht="14.25" customHeight="1"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146"/>
      <c r="P2" s="146" t="s">
        <v>18</v>
      </c>
      <c r="Q2" s="147">
        <f>MAX(B12:B51)</f>
        <v>46387</v>
      </c>
    </row>
    <row r="3" spans="2:17" ht="14.25" customHeight="1">
      <c r="B3" s="142" t="s">
        <v>19</v>
      </c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146"/>
      <c r="P3" s="146" t="s">
        <v>20</v>
      </c>
      <c r="Q3" s="147">
        <f>DATE(YEAR(Q2)+3,MONTH(Q2),DAY(Q2))</f>
        <v>47483</v>
      </c>
    </row>
    <row r="4" spans="2:17">
      <c r="C4" s="169"/>
      <c r="D4" s="182" t="s">
        <v>21</v>
      </c>
      <c r="E4" s="183"/>
      <c r="F4" s="183"/>
      <c r="G4" s="183"/>
      <c r="H4" s="183"/>
      <c r="I4" s="196" t="s">
        <v>22</v>
      </c>
      <c r="J4" s="197"/>
      <c r="K4" s="197"/>
      <c r="L4" s="197"/>
      <c r="M4" s="197"/>
      <c r="N4" s="197"/>
    </row>
    <row r="5" spans="2:17">
      <c r="C5" s="171" t="s">
        <v>23</v>
      </c>
      <c r="D5" s="184" t="str">
        <f>D11</f>
        <v>Slug</v>
      </c>
      <c r="E5" s="184" t="str">
        <f t="shared" ref="E5:N5" si="0">E11</f>
        <v>他</v>
      </c>
      <c r="F5" s="184" t="str">
        <f t="shared" si="0"/>
        <v>7.5号</v>
      </c>
      <c r="G5" s="184" t="str">
        <f t="shared" si="0"/>
        <v>9号</v>
      </c>
      <c r="H5" s="184" t="str">
        <f t="shared" si="0"/>
        <v>(予備)</v>
      </c>
      <c r="I5" s="198" t="str">
        <f t="shared" si="0"/>
        <v>Slug</v>
      </c>
      <c r="J5" s="198" t="str">
        <f t="shared" si="0"/>
        <v>他</v>
      </c>
      <c r="K5" s="198" t="str">
        <f t="shared" si="0"/>
        <v>9粒</v>
      </c>
      <c r="L5" s="198" t="str">
        <f t="shared" si="0"/>
        <v>5号</v>
      </c>
      <c r="M5" s="198" t="str">
        <f t="shared" si="0"/>
        <v>7.5号</v>
      </c>
      <c r="N5" s="198" t="str">
        <f t="shared" si="0"/>
        <v>3号</v>
      </c>
    </row>
    <row r="6" spans="2:17">
      <c r="C6" s="185" t="s">
        <v>24</v>
      </c>
      <c r="D6" s="173">
        <v>0</v>
      </c>
      <c r="E6" s="173">
        <v>85</v>
      </c>
      <c r="F6" s="173">
        <v>12</v>
      </c>
      <c r="G6" s="173">
        <v>73</v>
      </c>
      <c r="H6" s="173">
        <v>0</v>
      </c>
      <c r="I6" s="199">
        <v>26</v>
      </c>
      <c r="J6" s="199">
        <v>32</v>
      </c>
      <c r="K6" s="200">
        <v>12</v>
      </c>
      <c r="L6" s="200">
        <v>2</v>
      </c>
      <c r="M6" s="200">
        <v>0</v>
      </c>
      <c r="N6" s="200">
        <v>18</v>
      </c>
    </row>
    <row r="7" spans="2:17" hidden="1" outlineLevel="1">
      <c r="B7" s="186"/>
      <c r="C7" s="174" t="s">
        <v>25</v>
      </c>
      <c r="D7" s="175">
        <f>SUMIF(D12:D51,"&gt;0",D12:D51)</f>
        <v>0</v>
      </c>
      <c r="E7" s="175">
        <f t="shared" ref="E7:N7" si="1">SUMIF(E11:E50,"&gt;0",E11:E50)</f>
        <v>200</v>
      </c>
      <c r="F7" s="175">
        <f t="shared" si="1"/>
        <v>0</v>
      </c>
      <c r="G7" s="175">
        <f t="shared" si="1"/>
        <v>200</v>
      </c>
      <c r="H7" s="175">
        <f t="shared" si="1"/>
        <v>0</v>
      </c>
      <c r="I7" s="201">
        <f t="shared" si="1"/>
        <v>10</v>
      </c>
      <c r="J7" s="201">
        <f t="shared" si="1"/>
        <v>50</v>
      </c>
      <c r="K7" s="201">
        <f t="shared" si="1"/>
        <v>0</v>
      </c>
      <c r="L7" s="201">
        <f t="shared" si="1"/>
        <v>0</v>
      </c>
      <c r="M7" s="201">
        <f t="shared" si="1"/>
        <v>50</v>
      </c>
      <c r="N7" s="201">
        <f t="shared" si="1"/>
        <v>0</v>
      </c>
    </row>
    <row r="8" spans="2:17" hidden="1" outlineLevel="1">
      <c r="B8" s="186"/>
      <c r="C8" s="174" t="s">
        <v>26</v>
      </c>
      <c r="D8" s="175">
        <f>SUMIF(D12:D51,"&lt;0",D12:D51)</f>
        <v>0</v>
      </c>
      <c r="E8" s="175">
        <f>SUMIF(E12:E51,"&lt;0",E12:E51)</f>
        <v>0</v>
      </c>
      <c r="F8" s="175">
        <f t="shared" ref="F8:J8" si="2">SUMIF(F12:F51,"&lt;0",F12:F51)</f>
        <v>0</v>
      </c>
      <c r="G8" s="175">
        <f t="shared" si="2"/>
        <v>0</v>
      </c>
      <c r="H8" s="175">
        <f t="shared" si="2"/>
        <v>0</v>
      </c>
      <c r="I8" s="201">
        <f t="shared" si="2"/>
        <v>-11</v>
      </c>
      <c r="J8" s="201">
        <f t="shared" si="2"/>
        <v>-15</v>
      </c>
      <c r="K8" s="201">
        <f t="shared" ref="K8:N8" si="3">SUMIF(K12:K51,"&lt;0",K12:K51)</f>
        <v>0</v>
      </c>
      <c r="L8" s="201">
        <f t="shared" si="3"/>
        <v>-1</v>
      </c>
      <c r="M8" s="201">
        <f t="shared" si="3"/>
        <v>-11</v>
      </c>
      <c r="N8" s="201">
        <f t="shared" si="3"/>
        <v>-3</v>
      </c>
    </row>
    <row r="9" spans="2:17" collapsed="1">
      <c r="C9" s="253" t="s">
        <v>27</v>
      </c>
      <c r="D9" s="177">
        <f t="shared" ref="D9:N9" si="4">D6+SUM(D12:D51)</f>
        <v>0</v>
      </c>
      <c r="E9" s="175">
        <f>SUM(F9:H9)</f>
        <v>285</v>
      </c>
      <c r="F9" s="177">
        <f t="shared" si="4"/>
        <v>12</v>
      </c>
      <c r="G9" s="177">
        <f t="shared" si="4"/>
        <v>273</v>
      </c>
      <c r="H9" s="177">
        <f t="shared" si="4"/>
        <v>0</v>
      </c>
      <c r="I9" s="202">
        <f t="shared" si="4"/>
        <v>25</v>
      </c>
      <c r="J9" s="203">
        <f>SUM(K9:N9)</f>
        <v>67</v>
      </c>
      <c r="K9" s="202">
        <f t="shared" si="4"/>
        <v>12</v>
      </c>
      <c r="L9" s="202">
        <f t="shared" si="4"/>
        <v>1</v>
      </c>
      <c r="M9" s="202">
        <f t="shared" si="4"/>
        <v>39</v>
      </c>
      <c r="N9" s="202">
        <f t="shared" si="4"/>
        <v>15</v>
      </c>
    </row>
    <row r="10" spans="2:17">
      <c r="C10" s="254"/>
      <c r="D10" s="256" t="str">
        <f>"合計："&amp;SUM(D9:E9)</f>
        <v>合計：285</v>
      </c>
      <c r="E10" s="257"/>
      <c r="F10" s="257"/>
      <c r="G10" s="257"/>
      <c r="H10" s="258"/>
      <c r="I10" s="259" t="str">
        <f>"合計："&amp;SUM(I9:J9)</f>
        <v>合計：92</v>
      </c>
      <c r="J10" s="260"/>
      <c r="K10" s="260"/>
      <c r="L10" s="260"/>
      <c r="M10" s="260"/>
      <c r="N10" s="260"/>
    </row>
    <row r="11" spans="2:17">
      <c r="B11" s="148" t="s">
        <v>28</v>
      </c>
      <c r="C11" s="149" t="s">
        <v>29</v>
      </c>
      <c r="D11" s="178" t="s">
        <v>30</v>
      </c>
      <c r="E11" s="178" t="s">
        <v>31</v>
      </c>
      <c r="F11" s="187" t="s">
        <v>32</v>
      </c>
      <c r="G11" s="187" t="s">
        <v>33</v>
      </c>
      <c r="H11" s="187" t="s">
        <v>34</v>
      </c>
      <c r="I11" s="204" t="s">
        <v>30</v>
      </c>
      <c r="J11" s="204" t="s">
        <v>31</v>
      </c>
      <c r="K11" s="204" t="s">
        <v>35</v>
      </c>
      <c r="L11" s="204" t="s">
        <v>36</v>
      </c>
      <c r="M11" s="204" t="s">
        <v>32</v>
      </c>
      <c r="N11" s="204" t="s">
        <v>37</v>
      </c>
      <c r="O11" s="150" t="s">
        <v>38</v>
      </c>
      <c r="P11" s="151" t="s">
        <v>39</v>
      </c>
      <c r="Q11" s="151" t="s">
        <v>40</v>
      </c>
    </row>
    <row r="12" spans="2:17" ht="18" customHeight="1">
      <c r="B12" s="152">
        <v>45957</v>
      </c>
      <c r="C12" s="153" t="s">
        <v>21</v>
      </c>
      <c r="D12" s="179"/>
      <c r="E12" s="179" t="str">
        <f t="shared" ref="E12:E51" si="5">IF(SUM(F12:H12)=0,"",SUM(F12:H12))</f>
        <v/>
      </c>
      <c r="F12" s="179"/>
      <c r="G12" s="179"/>
      <c r="H12" s="179"/>
      <c r="I12" s="205">
        <v>-8</v>
      </c>
      <c r="J12" s="205" t="str">
        <f t="shared" ref="J12:J51" si="6">IF(SUM(K12:N12)=0,"",SUM(K12:N12))</f>
        <v/>
      </c>
      <c r="K12" s="205"/>
      <c r="L12" s="205"/>
      <c r="M12" s="205"/>
      <c r="N12" s="205"/>
      <c r="O12" s="154" t="s">
        <v>333</v>
      </c>
      <c r="P12" s="155" t="s">
        <v>42</v>
      </c>
      <c r="Q12" s="156"/>
    </row>
    <row r="13" spans="2:17" ht="18" customHeight="1">
      <c r="B13" s="157">
        <v>45960</v>
      </c>
      <c r="C13" s="158" t="s">
        <v>64</v>
      </c>
      <c r="D13" s="180"/>
      <c r="E13" s="180">
        <f t="shared" si="5"/>
        <v>200</v>
      </c>
      <c r="F13" s="180"/>
      <c r="G13" s="180">
        <v>200</v>
      </c>
      <c r="H13" s="180"/>
      <c r="I13" s="206">
        <v>10</v>
      </c>
      <c r="J13" s="206">
        <f t="shared" si="6"/>
        <v>50</v>
      </c>
      <c r="K13" s="206"/>
      <c r="L13" s="206"/>
      <c r="M13" s="206">
        <v>50</v>
      </c>
      <c r="N13" s="206"/>
      <c r="O13" s="159" t="str">
        <f>IFERROR(VLOOKUP(#REF!,表紙記号!$B$15:$C$26,2,FALSE),"")</f>
        <v/>
      </c>
      <c r="P13" s="160"/>
      <c r="Q13" s="145"/>
    </row>
    <row r="14" spans="2:17" ht="18.75" customHeight="1">
      <c r="B14" s="157">
        <v>45976</v>
      </c>
      <c r="C14" s="158" t="s">
        <v>44</v>
      </c>
      <c r="D14" s="180"/>
      <c r="E14" s="180" t="str">
        <f t="shared" si="5"/>
        <v/>
      </c>
      <c r="F14" s="180"/>
      <c r="G14" s="180"/>
      <c r="H14" s="180"/>
      <c r="I14" s="206"/>
      <c r="J14" s="206">
        <f t="shared" si="6"/>
        <v>-15</v>
      </c>
      <c r="K14" s="206"/>
      <c r="L14" s="206">
        <v>-1</v>
      </c>
      <c r="M14" s="206">
        <v>-11</v>
      </c>
      <c r="N14" s="206">
        <v>-3</v>
      </c>
      <c r="O14" s="159" t="s">
        <v>330</v>
      </c>
      <c r="P14" s="160" t="s">
        <v>42</v>
      </c>
      <c r="Q14" s="145" t="s">
        <v>329</v>
      </c>
    </row>
    <row r="15" spans="2:17" ht="18.75" customHeight="1">
      <c r="B15" s="157">
        <v>45977</v>
      </c>
      <c r="C15" s="158" t="s">
        <v>44</v>
      </c>
      <c r="D15" s="180"/>
      <c r="E15" s="180" t="str">
        <f t="shared" si="5"/>
        <v/>
      </c>
      <c r="F15" s="180"/>
      <c r="G15" s="180"/>
      <c r="H15" s="180"/>
      <c r="I15" s="206"/>
      <c r="J15" s="206" t="str">
        <f t="shared" si="6"/>
        <v/>
      </c>
      <c r="K15" s="206"/>
      <c r="L15" s="206"/>
      <c r="M15" s="206"/>
      <c r="N15" s="206"/>
      <c r="O15" s="159" t="s">
        <v>331</v>
      </c>
      <c r="P15" s="160" t="s">
        <v>42</v>
      </c>
      <c r="Q15" s="145"/>
    </row>
    <row r="16" spans="2:17" ht="18.75" customHeight="1">
      <c r="B16" s="157">
        <v>45983</v>
      </c>
      <c r="C16" s="158" t="s">
        <v>44</v>
      </c>
      <c r="D16" s="180"/>
      <c r="E16" s="180" t="str">
        <f t="shared" si="5"/>
        <v/>
      </c>
      <c r="F16" s="180"/>
      <c r="G16" s="180"/>
      <c r="H16" s="180"/>
      <c r="I16" s="206"/>
      <c r="J16" s="206" t="str">
        <f t="shared" si="6"/>
        <v/>
      </c>
      <c r="K16" s="206"/>
      <c r="L16" s="206"/>
      <c r="M16" s="206"/>
      <c r="N16" s="206"/>
      <c r="O16" s="159" t="s">
        <v>331</v>
      </c>
      <c r="P16" s="160" t="s">
        <v>42</v>
      </c>
      <c r="Q16" s="145"/>
    </row>
    <row r="17" spans="2:17" ht="18.75" customHeight="1">
      <c r="B17" s="157">
        <v>45984</v>
      </c>
      <c r="C17" s="158" t="s">
        <v>44</v>
      </c>
      <c r="D17" s="180"/>
      <c r="E17" s="180" t="str">
        <f t="shared" si="5"/>
        <v/>
      </c>
      <c r="F17" s="180"/>
      <c r="G17" s="180"/>
      <c r="H17" s="180"/>
      <c r="I17" s="206"/>
      <c r="J17" s="206" t="str">
        <f t="shared" si="6"/>
        <v/>
      </c>
      <c r="K17" s="206"/>
      <c r="L17" s="206"/>
      <c r="M17" s="206"/>
      <c r="N17" s="206"/>
      <c r="O17" s="159" t="s">
        <v>332</v>
      </c>
      <c r="P17" s="160" t="s">
        <v>42</v>
      </c>
      <c r="Q17" s="145"/>
    </row>
    <row r="18" spans="2:17" ht="18.75" customHeight="1">
      <c r="B18" s="157">
        <v>45991</v>
      </c>
      <c r="C18" s="158" t="s">
        <v>44</v>
      </c>
      <c r="D18" s="180"/>
      <c r="E18" s="180" t="str">
        <f t="shared" si="5"/>
        <v/>
      </c>
      <c r="F18" s="180"/>
      <c r="G18" s="180"/>
      <c r="H18" s="180"/>
      <c r="I18" s="206"/>
      <c r="J18" s="206" t="str">
        <f t="shared" si="6"/>
        <v/>
      </c>
      <c r="K18" s="206"/>
      <c r="L18" s="206"/>
      <c r="M18" s="206"/>
      <c r="N18" s="206"/>
      <c r="O18" s="159" t="s">
        <v>331</v>
      </c>
      <c r="P18" s="160" t="s">
        <v>42</v>
      </c>
      <c r="Q18" s="145"/>
    </row>
    <row r="19" spans="2:17" ht="18.75" customHeight="1">
      <c r="B19" s="157">
        <v>45998</v>
      </c>
      <c r="C19" s="158" t="s">
        <v>44</v>
      </c>
      <c r="D19" s="180"/>
      <c r="E19" s="180" t="str">
        <f t="shared" si="5"/>
        <v/>
      </c>
      <c r="F19" s="180"/>
      <c r="G19" s="180"/>
      <c r="H19" s="180"/>
      <c r="I19" s="206"/>
      <c r="J19" s="206" t="str">
        <f t="shared" si="6"/>
        <v/>
      </c>
      <c r="K19" s="206"/>
      <c r="L19" s="206"/>
      <c r="M19" s="206"/>
      <c r="N19" s="206"/>
      <c r="O19" s="159" t="s">
        <v>331</v>
      </c>
      <c r="P19" s="160" t="s">
        <v>42</v>
      </c>
      <c r="Q19" s="145"/>
    </row>
    <row r="20" spans="2:17" ht="18.75" customHeight="1">
      <c r="B20" s="157">
        <v>46017</v>
      </c>
      <c r="C20" s="158" t="s">
        <v>44</v>
      </c>
      <c r="D20" s="180"/>
      <c r="E20" s="180" t="str">
        <f t="shared" si="5"/>
        <v/>
      </c>
      <c r="F20" s="180"/>
      <c r="G20" s="180"/>
      <c r="H20" s="180"/>
      <c r="I20" s="206"/>
      <c r="J20" s="206" t="str">
        <f t="shared" si="6"/>
        <v/>
      </c>
      <c r="K20" s="206"/>
      <c r="L20" s="206"/>
      <c r="M20" s="206"/>
      <c r="N20" s="206"/>
      <c r="O20" s="159" t="s">
        <v>331</v>
      </c>
      <c r="P20" s="160" t="s">
        <v>42</v>
      </c>
      <c r="Q20" s="145"/>
    </row>
    <row r="21" spans="2:17" ht="18.75" customHeight="1">
      <c r="B21" s="157">
        <v>46018</v>
      </c>
      <c r="C21" s="158" t="s">
        <v>44</v>
      </c>
      <c r="D21" s="180"/>
      <c r="E21" s="180" t="str">
        <f t="shared" si="5"/>
        <v/>
      </c>
      <c r="F21" s="180"/>
      <c r="G21" s="180"/>
      <c r="H21" s="180"/>
      <c r="I21" s="206">
        <v>-1</v>
      </c>
      <c r="J21" s="206" t="str">
        <f t="shared" si="6"/>
        <v/>
      </c>
      <c r="K21" s="206"/>
      <c r="L21" s="206"/>
      <c r="M21" s="206"/>
      <c r="N21" s="206"/>
      <c r="O21" s="159" t="s">
        <v>331</v>
      </c>
      <c r="P21" s="160" t="s">
        <v>42</v>
      </c>
      <c r="Q21" s="145"/>
    </row>
    <row r="22" spans="2:17" ht="18.75" customHeight="1">
      <c r="B22" s="157">
        <v>46019</v>
      </c>
      <c r="C22" s="158" t="s">
        <v>44</v>
      </c>
      <c r="D22" s="180"/>
      <c r="E22" s="180" t="str">
        <f t="shared" si="5"/>
        <v/>
      </c>
      <c r="F22" s="180"/>
      <c r="G22" s="180"/>
      <c r="H22" s="180"/>
      <c r="I22" s="206"/>
      <c r="J22" s="206" t="str">
        <f t="shared" si="6"/>
        <v/>
      </c>
      <c r="K22" s="206"/>
      <c r="L22" s="206"/>
      <c r="M22" s="206"/>
      <c r="N22" s="206"/>
      <c r="O22" s="159" t="s">
        <v>331</v>
      </c>
      <c r="P22" s="160" t="s">
        <v>42</v>
      </c>
      <c r="Q22" s="145"/>
    </row>
    <row r="23" spans="2:17" ht="18.75" customHeight="1">
      <c r="B23" s="157">
        <v>46385</v>
      </c>
      <c r="C23" s="158" t="s">
        <v>44</v>
      </c>
      <c r="D23" s="180"/>
      <c r="E23" s="180" t="str">
        <f t="shared" si="5"/>
        <v/>
      </c>
      <c r="F23" s="180"/>
      <c r="G23" s="180"/>
      <c r="H23" s="180"/>
      <c r="I23" s="206"/>
      <c r="J23" s="206" t="str">
        <f t="shared" si="6"/>
        <v/>
      </c>
      <c r="K23" s="206"/>
      <c r="L23" s="206"/>
      <c r="M23" s="206"/>
      <c r="N23" s="206"/>
      <c r="O23" s="159" t="s">
        <v>331</v>
      </c>
      <c r="P23" s="160" t="s">
        <v>42</v>
      </c>
      <c r="Q23" s="145"/>
    </row>
    <row r="24" spans="2:17" ht="18.75" customHeight="1">
      <c r="B24" s="157">
        <v>46387</v>
      </c>
      <c r="C24" s="158" t="s">
        <v>44</v>
      </c>
      <c r="D24" s="180"/>
      <c r="E24" s="180" t="str">
        <f t="shared" si="5"/>
        <v/>
      </c>
      <c r="F24" s="180"/>
      <c r="G24" s="180"/>
      <c r="H24" s="180"/>
      <c r="I24" s="206"/>
      <c r="J24" s="206" t="str">
        <f t="shared" si="6"/>
        <v/>
      </c>
      <c r="K24" s="206"/>
      <c r="L24" s="206"/>
      <c r="M24" s="206"/>
      <c r="N24" s="206"/>
      <c r="O24" s="159" t="s">
        <v>331</v>
      </c>
      <c r="P24" s="160" t="s">
        <v>42</v>
      </c>
      <c r="Q24" s="145"/>
    </row>
    <row r="25" spans="2:17" ht="18.75" customHeight="1">
      <c r="B25" s="157">
        <v>46024</v>
      </c>
      <c r="C25" s="158" t="s">
        <v>44</v>
      </c>
      <c r="D25" s="180"/>
      <c r="E25" s="180" t="str">
        <f t="shared" si="5"/>
        <v/>
      </c>
      <c r="F25" s="180"/>
      <c r="G25" s="180"/>
      <c r="H25" s="180"/>
      <c r="I25" s="206">
        <v>-2</v>
      </c>
      <c r="J25" s="206" t="str">
        <f t="shared" si="6"/>
        <v/>
      </c>
      <c r="K25" s="206"/>
      <c r="L25" s="206"/>
      <c r="M25" s="206"/>
      <c r="N25" s="206"/>
      <c r="O25" s="159" t="s">
        <v>331</v>
      </c>
      <c r="P25" s="160" t="s">
        <v>42</v>
      </c>
      <c r="Q25" s="145"/>
    </row>
    <row r="26" spans="2:17" ht="18.75" customHeight="1">
      <c r="B26" s="157">
        <v>46026</v>
      </c>
      <c r="C26" s="158" t="s">
        <v>44</v>
      </c>
      <c r="D26" s="180"/>
      <c r="E26" s="180" t="str">
        <f t="shared" si="5"/>
        <v/>
      </c>
      <c r="F26" s="180"/>
      <c r="G26" s="180"/>
      <c r="H26" s="180"/>
      <c r="I26" s="206"/>
      <c r="J26" s="206" t="str">
        <f t="shared" si="6"/>
        <v/>
      </c>
      <c r="K26" s="206"/>
      <c r="L26" s="206"/>
      <c r="M26" s="206"/>
      <c r="N26" s="206"/>
      <c r="O26" s="159" t="s">
        <v>331</v>
      </c>
      <c r="P26" s="160" t="s">
        <v>42</v>
      </c>
      <c r="Q26" s="145"/>
    </row>
    <row r="27" spans="2:17" ht="18.75" customHeight="1">
      <c r="B27" s="157">
        <v>46040</v>
      </c>
      <c r="C27" s="158" t="s">
        <v>44</v>
      </c>
      <c r="D27" s="180"/>
      <c r="E27" s="180" t="str">
        <f t="shared" si="5"/>
        <v/>
      </c>
      <c r="F27" s="180"/>
      <c r="G27" s="180"/>
      <c r="H27" s="180"/>
      <c r="I27" s="206"/>
      <c r="J27" s="206" t="str">
        <f t="shared" si="6"/>
        <v/>
      </c>
      <c r="K27" s="206"/>
      <c r="L27" s="206"/>
      <c r="M27" s="206"/>
      <c r="N27" s="206"/>
      <c r="O27" s="159" t="s">
        <v>331</v>
      </c>
      <c r="P27" s="160" t="s">
        <v>42</v>
      </c>
      <c r="Q27" s="145"/>
    </row>
    <row r="28" spans="2:17" ht="18.75" customHeight="1">
      <c r="B28" s="157"/>
      <c r="C28" s="158"/>
      <c r="D28" s="180"/>
      <c r="E28" s="180" t="str">
        <f t="shared" si="5"/>
        <v/>
      </c>
      <c r="F28" s="180"/>
      <c r="G28" s="180"/>
      <c r="H28" s="180"/>
      <c r="I28" s="206"/>
      <c r="J28" s="206" t="str">
        <f t="shared" si="6"/>
        <v/>
      </c>
      <c r="K28" s="206"/>
      <c r="L28" s="206"/>
      <c r="M28" s="206"/>
      <c r="N28" s="206"/>
      <c r="O28" s="159" t="str">
        <f>IFERROR(VLOOKUP(#REF!,表紙記号!$B$15:$C$26,2,FALSE),"")</f>
        <v/>
      </c>
      <c r="P28" s="160"/>
      <c r="Q28" s="145"/>
    </row>
    <row r="29" spans="2:17" ht="18.75" customHeight="1">
      <c r="B29" s="157"/>
      <c r="C29" s="158"/>
      <c r="D29" s="180"/>
      <c r="E29" s="180" t="str">
        <f t="shared" si="5"/>
        <v/>
      </c>
      <c r="F29" s="180"/>
      <c r="G29" s="180"/>
      <c r="H29" s="180"/>
      <c r="I29" s="206"/>
      <c r="J29" s="206" t="str">
        <f t="shared" si="6"/>
        <v/>
      </c>
      <c r="K29" s="206"/>
      <c r="L29" s="206"/>
      <c r="M29" s="206"/>
      <c r="N29" s="206"/>
      <c r="O29" s="159" t="str">
        <f>IFERROR(VLOOKUP(#REF!,表紙記号!$B$15:$C$26,2,FALSE),"")</f>
        <v/>
      </c>
      <c r="P29" s="160"/>
      <c r="Q29" s="145"/>
    </row>
    <row r="30" spans="2:17" ht="18.75" customHeight="1">
      <c r="B30" s="157"/>
      <c r="C30" s="158"/>
      <c r="D30" s="180"/>
      <c r="E30" s="180" t="str">
        <f t="shared" si="5"/>
        <v/>
      </c>
      <c r="F30" s="180"/>
      <c r="G30" s="180"/>
      <c r="H30" s="180"/>
      <c r="I30" s="206"/>
      <c r="J30" s="206" t="str">
        <f t="shared" si="6"/>
        <v/>
      </c>
      <c r="K30" s="206"/>
      <c r="L30" s="206"/>
      <c r="M30" s="206"/>
      <c r="N30" s="206"/>
      <c r="O30" s="159" t="str">
        <f>IFERROR(VLOOKUP(#REF!,表紙記号!$B$15:$C$26,2,FALSE),"")</f>
        <v/>
      </c>
      <c r="P30" s="160"/>
      <c r="Q30" s="145"/>
    </row>
    <row r="31" spans="2:17" ht="18.75" customHeight="1">
      <c r="B31" s="157"/>
      <c r="C31" s="158"/>
      <c r="D31" s="180"/>
      <c r="E31" s="180" t="str">
        <f t="shared" si="5"/>
        <v/>
      </c>
      <c r="F31" s="180"/>
      <c r="G31" s="180"/>
      <c r="H31" s="180"/>
      <c r="I31" s="206"/>
      <c r="J31" s="206" t="str">
        <f t="shared" si="6"/>
        <v/>
      </c>
      <c r="K31" s="206"/>
      <c r="L31" s="206"/>
      <c r="M31" s="206"/>
      <c r="N31" s="206"/>
      <c r="O31" s="159" t="str">
        <f>IFERROR(VLOOKUP(#REF!,表紙記号!$B$15:$C$26,2,FALSE),"")</f>
        <v/>
      </c>
      <c r="P31" s="160"/>
      <c r="Q31" s="145"/>
    </row>
    <row r="32" spans="2:17" ht="18.75" customHeight="1">
      <c r="B32" s="157"/>
      <c r="C32" s="158"/>
      <c r="D32" s="180"/>
      <c r="E32" s="180" t="str">
        <f t="shared" si="5"/>
        <v/>
      </c>
      <c r="F32" s="180"/>
      <c r="G32" s="180"/>
      <c r="H32" s="180"/>
      <c r="I32" s="206"/>
      <c r="J32" s="206" t="str">
        <f t="shared" si="6"/>
        <v/>
      </c>
      <c r="K32" s="206"/>
      <c r="L32" s="206"/>
      <c r="M32" s="206"/>
      <c r="N32" s="206"/>
      <c r="O32" s="159" t="str">
        <f>IFERROR(VLOOKUP(#REF!,表紙記号!$B$15:$C$26,2,FALSE),"")</f>
        <v/>
      </c>
      <c r="P32" s="160"/>
      <c r="Q32" s="145"/>
    </row>
    <row r="33" spans="2:17" ht="18.75" customHeight="1">
      <c r="B33" s="157"/>
      <c r="C33" s="158"/>
      <c r="D33" s="180"/>
      <c r="E33" s="180" t="str">
        <f t="shared" si="5"/>
        <v/>
      </c>
      <c r="F33" s="180"/>
      <c r="G33" s="180"/>
      <c r="H33" s="180"/>
      <c r="I33" s="206"/>
      <c r="J33" s="206" t="str">
        <f t="shared" si="6"/>
        <v/>
      </c>
      <c r="K33" s="206"/>
      <c r="L33" s="206"/>
      <c r="M33" s="206"/>
      <c r="N33" s="206"/>
      <c r="O33" s="159" t="str">
        <f>IFERROR(VLOOKUP(#REF!,表紙記号!$B$15:$C$26,2,FALSE),"")</f>
        <v/>
      </c>
      <c r="P33" s="160"/>
      <c r="Q33" s="145"/>
    </row>
    <row r="34" spans="2:17" ht="18.75" customHeight="1">
      <c r="B34" s="157"/>
      <c r="C34" s="158"/>
      <c r="D34" s="180"/>
      <c r="E34" s="180" t="str">
        <f t="shared" si="5"/>
        <v/>
      </c>
      <c r="F34" s="180"/>
      <c r="G34" s="180"/>
      <c r="H34" s="180"/>
      <c r="I34" s="206"/>
      <c r="J34" s="206" t="str">
        <f t="shared" si="6"/>
        <v/>
      </c>
      <c r="K34" s="206"/>
      <c r="L34" s="206"/>
      <c r="M34" s="206"/>
      <c r="N34" s="206"/>
      <c r="O34" s="159" t="str">
        <f>IFERROR(VLOOKUP(#REF!,表紙記号!$B$15:$C$26,2,FALSE),"")</f>
        <v/>
      </c>
      <c r="P34" s="160"/>
      <c r="Q34" s="145"/>
    </row>
    <row r="35" spans="2:17" ht="18.75" customHeight="1">
      <c r="B35" s="157"/>
      <c r="C35" s="158"/>
      <c r="D35" s="180"/>
      <c r="E35" s="180" t="str">
        <f t="shared" si="5"/>
        <v/>
      </c>
      <c r="F35" s="180"/>
      <c r="G35" s="180"/>
      <c r="H35" s="180"/>
      <c r="I35" s="206"/>
      <c r="J35" s="206" t="str">
        <f t="shared" si="6"/>
        <v/>
      </c>
      <c r="K35" s="206"/>
      <c r="L35" s="206"/>
      <c r="M35" s="206"/>
      <c r="N35" s="206"/>
      <c r="O35" s="159" t="str">
        <f>IFERROR(VLOOKUP(#REF!,表紙記号!$B$15:$C$26,2,FALSE),"")</f>
        <v/>
      </c>
      <c r="P35" s="160"/>
      <c r="Q35" s="145"/>
    </row>
    <row r="36" spans="2:17" ht="18.75" customHeight="1">
      <c r="B36" s="157"/>
      <c r="C36" s="158"/>
      <c r="D36" s="180"/>
      <c r="E36" s="180" t="str">
        <f t="shared" si="5"/>
        <v/>
      </c>
      <c r="F36" s="180"/>
      <c r="G36" s="180"/>
      <c r="H36" s="180"/>
      <c r="I36" s="206"/>
      <c r="J36" s="206" t="str">
        <f t="shared" si="6"/>
        <v/>
      </c>
      <c r="K36" s="206"/>
      <c r="L36" s="206"/>
      <c r="M36" s="206"/>
      <c r="N36" s="206"/>
      <c r="O36" s="159" t="str">
        <f>IFERROR(VLOOKUP(#REF!,表紙記号!$B$15:$C$26,2,FALSE),"")</f>
        <v/>
      </c>
      <c r="P36" s="160"/>
      <c r="Q36" s="145"/>
    </row>
    <row r="37" spans="2:17" ht="18.75" customHeight="1">
      <c r="B37" s="157"/>
      <c r="C37" s="158"/>
      <c r="D37" s="180"/>
      <c r="E37" s="180" t="str">
        <f t="shared" si="5"/>
        <v/>
      </c>
      <c r="F37" s="180"/>
      <c r="G37" s="180"/>
      <c r="H37" s="180"/>
      <c r="I37" s="206"/>
      <c r="J37" s="206" t="str">
        <f t="shared" si="6"/>
        <v/>
      </c>
      <c r="K37" s="206"/>
      <c r="L37" s="206"/>
      <c r="M37" s="206"/>
      <c r="N37" s="206"/>
      <c r="O37" s="159" t="str">
        <f>IFERROR(VLOOKUP(#REF!,表紙記号!$B$15:$C$26,2,FALSE),"")</f>
        <v/>
      </c>
      <c r="P37" s="160"/>
      <c r="Q37" s="145"/>
    </row>
    <row r="38" spans="2:17" ht="18.75" customHeight="1">
      <c r="B38" s="157"/>
      <c r="C38" s="158"/>
      <c r="D38" s="180"/>
      <c r="E38" s="180" t="str">
        <f t="shared" si="5"/>
        <v/>
      </c>
      <c r="F38" s="180"/>
      <c r="G38" s="180"/>
      <c r="H38" s="180"/>
      <c r="I38" s="206"/>
      <c r="J38" s="206" t="str">
        <f t="shared" si="6"/>
        <v/>
      </c>
      <c r="K38" s="206"/>
      <c r="L38" s="206"/>
      <c r="M38" s="206"/>
      <c r="N38" s="206"/>
      <c r="O38" s="159" t="str">
        <f>IFERROR(VLOOKUP(#REF!,表紙記号!$B$15:$C$26,2,FALSE),"")</f>
        <v/>
      </c>
      <c r="P38" s="160"/>
      <c r="Q38" s="145"/>
    </row>
    <row r="39" spans="2:17" ht="18.75" customHeight="1">
      <c r="B39" s="157"/>
      <c r="C39" s="158"/>
      <c r="D39" s="180"/>
      <c r="E39" s="180" t="str">
        <f t="shared" si="5"/>
        <v/>
      </c>
      <c r="F39" s="180"/>
      <c r="G39" s="180"/>
      <c r="H39" s="180"/>
      <c r="I39" s="206"/>
      <c r="J39" s="206" t="str">
        <f t="shared" si="6"/>
        <v/>
      </c>
      <c r="K39" s="206"/>
      <c r="L39" s="206"/>
      <c r="M39" s="206"/>
      <c r="N39" s="206"/>
      <c r="O39" s="159" t="str">
        <f>IFERROR(VLOOKUP(#REF!,表紙記号!$B$15:$C$26,2,FALSE),"")</f>
        <v/>
      </c>
      <c r="P39" s="160"/>
      <c r="Q39" s="145"/>
    </row>
    <row r="40" spans="2:17" ht="18.75" customHeight="1">
      <c r="B40" s="157"/>
      <c r="C40" s="158"/>
      <c r="D40" s="180"/>
      <c r="E40" s="180" t="str">
        <f t="shared" si="5"/>
        <v/>
      </c>
      <c r="F40" s="180"/>
      <c r="G40" s="180"/>
      <c r="H40" s="180"/>
      <c r="I40" s="206"/>
      <c r="J40" s="206" t="str">
        <f t="shared" si="6"/>
        <v/>
      </c>
      <c r="K40" s="206"/>
      <c r="L40" s="206"/>
      <c r="M40" s="206"/>
      <c r="N40" s="206"/>
      <c r="O40" s="159" t="str">
        <f>IFERROR(VLOOKUP(#REF!,表紙記号!$B$15:$C$26,2,FALSE),"")</f>
        <v/>
      </c>
      <c r="P40" s="160"/>
      <c r="Q40" s="145"/>
    </row>
    <row r="41" spans="2:17" ht="18.75" customHeight="1">
      <c r="B41" s="157"/>
      <c r="C41" s="158"/>
      <c r="D41" s="180"/>
      <c r="E41" s="180" t="str">
        <f t="shared" si="5"/>
        <v/>
      </c>
      <c r="F41" s="180"/>
      <c r="G41" s="180"/>
      <c r="H41" s="180"/>
      <c r="I41" s="206"/>
      <c r="J41" s="206" t="str">
        <f t="shared" si="6"/>
        <v/>
      </c>
      <c r="K41" s="206"/>
      <c r="L41" s="206"/>
      <c r="M41" s="206"/>
      <c r="N41" s="206"/>
      <c r="O41" s="159" t="str">
        <f>IFERROR(VLOOKUP(#REF!,表紙記号!$B$15:$C$26,2,FALSE),"")</f>
        <v/>
      </c>
      <c r="P41" s="160"/>
      <c r="Q41" s="145"/>
    </row>
    <row r="42" spans="2:17" ht="18.75" customHeight="1">
      <c r="B42" s="157"/>
      <c r="C42" s="158"/>
      <c r="D42" s="180"/>
      <c r="E42" s="180" t="str">
        <f t="shared" si="5"/>
        <v/>
      </c>
      <c r="F42" s="180"/>
      <c r="G42" s="180"/>
      <c r="H42" s="180"/>
      <c r="I42" s="206"/>
      <c r="J42" s="206" t="str">
        <f t="shared" si="6"/>
        <v/>
      </c>
      <c r="K42" s="206"/>
      <c r="L42" s="206"/>
      <c r="M42" s="206"/>
      <c r="N42" s="206"/>
      <c r="O42" s="159" t="str">
        <f>IFERROR(VLOOKUP(#REF!,表紙記号!$B$15:$C$26,2,FALSE),"")</f>
        <v/>
      </c>
      <c r="P42" s="160"/>
      <c r="Q42" s="145"/>
    </row>
    <row r="43" spans="2:17" ht="18.75" customHeight="1">
      <c r="B43" s="157"/>
      <c r="C43" s="158"/>
      <c r="D43" s="180"/>
      <c r="E43" s="180" t="str">
        <f t="shared" si="5"/>
        <v/>
      </c>
      <c r="F43" s="180"/>
      <c r="G43" s="180"/>
      <c r="H43" s="180"/>
      <c r="I43" s="206"/>
      <c r="J43" s="206" t="str">
        <f t="shared" si="6"/>
        <v/>
      </c>
      <c r="K43" s="206"/>
      <c r="L43" s="206"/>
      <c r="M43" s="206"/>
      <c r="N43" s="206"/>
      <c r="O43" s="159" t="str">
        <f>IFERROR(VLOOKUP(#REF!,表紙記号!$B$15:$C$26,2,FALSE),"")</f>
        <v/>
      </c>
      <c r="P43" s="160"/>
      <c r="Q43" s="145"/>
    </row>
    <row r="44" spans="2:17" ht="18.75" customHeight="1">
      <c r="B44" s="157"/>
      <c r="C44" s="158"/>
      <c r="D44" s="180"/>
      <c r="E44" s="180" t="str">
        <f t="shared" si="5"/>
        <v/>
      </c>
      <c r="F44" s="180"/>
      <c r="G44" s="180"/>
      <c r="H44" s="180"/>
      <c r="I44" s="206"/>
      <c r="J44" s="206" t="str">
        <f t="shared" si="6"/>
        <v/>
      </c>
      <c r="K44" s="206"/>
      <c r="L44" s="206"/>
      <c r="M44" s="206"/>
      <c r="N44" s="206"/>
      <c r="O44" s="159" t="str">
        <f>IFERROR(VLOOKUP(#REF!,表紙記号!$B$15:$C$26,2,FALSE),"")</f>
        <v/>
      </c>
      <c r="P44" s="160"/>
      <c r="Q44" s="145"/>
    </row>
    <row r="45" spans="2:17" ht="18.75" customHeight="1">
      <c r="B45" s="157"/>
      <c r="C45" s="158"/>
      <c r="D45" s="180"/>
      <c r="E45" s="180" t="str">
        <f t="shared" si="5"/>
        <v/>
      </c>
      <c r="F45" s="180"/>
      <c r="G45" s="180"/>
      <c r="H45" s="180"/>
      <c r="I45" s="206"/>
      <c r="J45" s="206" t="str">
        <f t="shared" si="6"/>
        <v/>
      </c>
      <c r="K45" s="206"/>
      <c r="L45" s="206"/>
      <c r="M45" s="206"/>
      <c r="N45" s="206"/>
      <c r="O45" s="159" t="str">
        <f>IFERROR(VLOOKUP(#REF!,表紙記号!$B$15:$C$26,2,FALSE),"")</f>
        <v/>
      </c>
      <c r="P45" s="160"/>
      <c r="Q45" s="145"/>
    </row>
    <row r="46" spans="2:17" ht="18.75" customHeight="1">
      <c r="B46" s="157"/>
      <c r="C46" s="158"/>
      <c r="D46" s="180"/>
      <c r="E46" s="180" t="str">
        <f t="shared" si="5"/>
        <v/>
      </c>
      <c r="F46" s="180"/>
      <c r="G46" s="180"/>
      <c r="H46" s="180"/>
      <c r="I46" s="206"/>
      <c r="J46" s="206" t="str">
        <f t="shared" si="6"/>
        <v/>
      </c>
      <c r="K46" s="206"/>
      <c r="L46" s="206"/>
      <c r="M46" s="206"/>
      <c r="N46" s="206"/>
      <c r="O46" s="159" t="str">
        <f>IFERROR(VLOOKUP(#REF!,表紙記号!$B$15:$C$26,2,FALSE),"")</f>
        <v/>
      </c>
      <c r="P46" s="160"/>
      <c r="Q46" s="145"/>
    </row>
    <row r="47" spans="2:17" ht="18.75" customHeight="1">
      <c r="B47" s="157"/>
      <c r="C47" s="158"/>
      <c r="D47" s="180"/>
      <c r="E47" s="180" t="str">
        <f t="shared" si="5"/>
        <v/>
      </c>
      <c r="F47" s="180"/>
      <c r="G47" s="180"/>
      <c r="H47" s="180"/>
      <c r="I47" s="206"/>
      <c r="J47" s="206" t="str">
        <f t="shared" si="6"/>
        <v/>
      </c>
      <c r="K47" s="206"/>
      <c r="L47" s="206"/>
      <c r="M47" s="206"/>
      <c r="N47" s="206"/>
      <c r="O47" s="159" t="str">
        <f>IFERROR(VLOOKUP(#REF!,表紙記号!$B$15:$C$26,2,FALSE),"")</f>
        <v/>
      </c>
      <c r="P47" s="160"/>
      <c r="Q47" s="145"/>
    </row>
    <row r="48" spans="2:17" ht="18.75" customHeight="1">
      <c r="B48" s="157"/>
      <c r="C48" s="158"/>
      <c r="D48" s="180"/>
      <c r="E48" s="180" t="str">
        <f t="shared" si="5"/>
        <v/>
      </c>
      <c r="F48" s="180"/>
      <c r="G48" s="180"/>
      <c r="H48" s="180"/>
      <c r="I48" s="206"/>
      <c r="J48" s="206" t="str">
        <f t="shared" si="6"/>
        <v/>
      </c>
      <c r="K48" s="206"/>
      <c r="L48" s="206"/>
      <c r="M48" s="206"/>
      <c r="N48" s="206"/>
      <c r="O48" s="159" t="str">
        <f>IFERROR(VLOOKUP(#REF!,表紙記号!$B$15:$C$26,2,FALSE),"")</f>
        <v/>
      </c>
      <c r="P48" s="160"/>
      <c r="Q48" s="145"/>
    </row>
    <row r="49" spans="2:17" ht="18.75" customHeight="1">
      <c r="B49" s="157"/>
      <c r="C49" s="158"/>
      <c r="D49" s="180"/>
      <c r="E49" s="180" t="str">
        <f t="shared" si="5"/>
        <v/>
      </c>
      <c r="F49" s="180"/>
      <c r="G49" s="180"/>
      <c r="H49" s="180"/>
      <c r="I49" s="206"/>
      <c r="J49" s="206" t="str">
        <f t="shared" si="6"/>
        <v/>
      </c>
      <c r="K49" s="206"/>
      <c r="L49" s="206"/>
      <c r="M49" s="206"/>
      <c r="N49" s="206"/>
      <c r="O49" s="159" t="str">
        <f>IFERROR(VLOOKUP(#REF!,表紙記号!$B$15:$C$26,2,FALSE),"")</f>
        <v/>
      </c>
      <c r="P49" s="160"/>
      <c r="Q49" s="145"/>
    </row>
    <row r="50" spans="2:17" ht="18.75" customHeight="1">
      <c r="B50" s="157"/>
      <c r="C50" s="158"/>
      <c r="D50" s="180"/>
      <c r="E50" s="180" t="str">
        <f t="shared" si="5"/>
        <v/>
      </c>
      <c r="F50" s="180"/>
      <c r="G50" s="180"/>
      <c r="H50" s="180"/>
      <c r="I50" s="206"/>
      <c r="J50" s="206" t="str">
        <f t="shared" si="6"/>
        <v/>
      </c>
      <c r="K50" s="206"/>
      <c r="L50" s="206"/>
      <c r="M50" s="206"/>
      <c r="N50" s="206"/>
      <c r="O50" s="159" t="str">
        <f>IFERROR(VLOOKUP(#REF!,表紙記号!$B$15:$C$26,2,FALSE),"")</f>
        <v/>
      </c>
      <c r="P50" s="160"/>
      <c r="Q50" s="145"/>
    </row>
    <row r="51" spans="2:17" ht="18.75" customHeight="1">
      <c r="B51" s="157"/>
      <c r="C51" s="158"/>
      <c r="D51" s="180"/>
      <c r="E51" s="180" t="str">
        <f t="shared" si="5"/>
        <v/>
      </c>
      <c r="F51" s="188"/>
      <c r="G51" s="188"/>
      <c r="H51" s="188"/>
      <c r="I51" s="207"/>
      <c r="J51" s="206" t="str">
        <f t="shared" si="6"/>
        <v/>
      </c>
      <c r="K51" s="206"/>
      <c r="L51" s="206"/>
      <c r="M51" s="206"/>
      <c r="N51" s="206"/>
      <c r="O51" s="159" t="str">
        <f>IFERROR(VLOOKUP(#REF!,表紙記号!$B$15:$C$26,2,FALSE),"")</f>
        <v/>
      </c>
      <c r="P51" s="160"/>
      <c r="Q51" s="145"/>
    </row>
    <row r="52" spans="2:17" ht="18.75" customHeight="1"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2"/>
      <c r="P52" s="162"/>
      <c r="Q52" s="162"/>
    </row>
    <row r="53" spans="2:17" ht="18.75" customHeight="1">
      <c r="B53" s="161"/>
      <c r="C53" s="161"/>
      <c r="D53" s="189" t="s">
        <v>39</v>
      </c>
      <c r="E53" s="190"/>
      <c r="F53" s="191"/>
      <c r="G53" s="191"/>
      <c r="H53" s="191"/>
      <c r="I53" s="191"/>
      <c r="J53" s="191"/>
      <c r="K53" s="161"/>
      <c r="L53" s="161"/>
      <c r="M53" s="161"/>
      <c r="N53" s="161"/>
      <c r="O53" s="162"/>
      <c r="P53" s="162"/>
      <c r="Q53" s="162"/>
    </row>
    <row r="54" spans="2:17" ht="18.75" customHeight="1">
      <c r="B54" s="261" t="s">
        <v>41</v>
      </c>
      <c r="C54" s="262"/>
      <c r="D54" s="192" t="s">
        <v>42</v>
      </c>
      <c r="E54" s="193" t="s">
        <v>43</v>
      </c>
      <c r="F54" s="194"/>
      <c r="G54" s="194"/>
      <c r="H54" s="194"/>
      <c r="I54" s="194"/>
      <c r="J54" s="194"/>
      <c r="K54" s="162"/>
      <c r="L54" s="162"/>
      <c r="M54" s="162"/>
      <c r="N54" s="162"/>
      <c r="O54" s="162"/>
      <c r="P54" s="162"/>
      <c r="Q54" s="162"/>
    </row>
    <row r="55" spans="2:17" ht="18.75" customHeight="1">
      <c r="B55" s="251" t="s">
        <v>21</v>
      </c>
      <c r="C55" s="252"/>
      <c r="D55" s="218">
        <f t="shared" ref="D55:E57" si="7">COUNTIFS($C$12:$C$51,$B55,$P$12:$P$51,D$54)</f>
        <v>1</v>
      </c>
      <c r="E55" s="218">
        <f t="shared" si="7"/>
        <v>0</v>
      </c>
      <c r="F55" s="195"/>
      <c r="G55" s="195"/>
      <c r="H55" s="195"/>
      <c r="I55" s="208"/>
      <c r="J55" s="195"/>
      <c r="K55" s="142"/>
      <c r="L55" s="142"/>
      <c r="M55" s="142"/>
      <c r="N55" s="142"/>
    </row>
    <row r="56" spans="2:17" ht="18.75" customHeight="1">
      <c r="B56" s="251" t="s">
        <v>44</v>
      </c>
      <c r="C56" s="252"/>
      <c r="D56" s="218">
        <f t="shared" si="7"/>
        <v>14</v>
      </c>
      <c r="E56" s="218">
        <f t="shared" si="7"/>
        <v>0</v>
      </c>
      <c r="F56" s="195"/>
      <c r="G56" s="195"/>
      <c r="H56" s="195"/>
      <c r="I56" s="208"/>
      <c r="J56" s="195"/>
      <c r="K56" s="142"/>
      <c r="L56" s="142"/>
      <c r="M56" s="142"/>
      <c r="N56" s="142"/>
    </row>
    <row r="57" spans="2:17" ht="18.75" customHeight="1">
      <c r="B57" s="251" t="s">
        <v>45</v>
      </c>
      <c r="C57" s="252"/>
      <c r="D57" s="218">
        <f t="shared" si="7"/>
        <v>0</v>
      </c>
      <c r="E57" s="218">
        <f t="shared" si="7"/>
        <v>0</v>
      </c>
      <c r="F57" s="195"/>
      <c r="G57" s="195"/>
      <c r="H57" s="195"/>
      <c r="I57" s="208"/>
      <c r="J57" s="195"/>
      <c r="K57" s="142"/>
      <c r="L57" s="142"/>
      <c r="M57" s="142"/>
      <c r="N57" s="142"/>
    </row>
    <row r="58" spans="2:17" ht="18.75" customHeight="1">
      <c r="B58" s="165"/>
      <c r="C58" s="165"/>
    </row>
  </sheetData>
  <autoFilter ref="B11:Q51" xr:uid="{00000000-0009-0000-0000-000001000000}">
    <sortState xmlns:xlrd2="http://schemas.microsoft.com/office/spreadsheetml/2017/richdata2" ref="B11:Q51">
      <sortCondition ref="B6:B66"/>
    </sortState>
  </autoFilter>
  <mergeCells count="8">
    <mergeCell ref="B57:C57"/>
    <mergeCell ref="C9:C10"/>
    <mergeCell ref="B1:N2"/>
    <mergeCell ref="D10:H10"/>
    <mergeCell ref="I10:N10"/>
    <mergeCell ref="B54:C54"/>
    <mergeCell ref="B55:C55"/>
    <mergeCell ref="B56:C56"/>
  </mergeCells>
  <phoneticPr fontId="35"/>
  <dataValidations count="3">
    <dataValidation type="list" allowBlank="1" showInputMessage="1" showErrorMessage="1" sqref="C12:C51" xr:uid="{00000000-0002-0000-0100-000000000000}">
      <formula1>用途</formula1>
    </dataValidation>
    <dataValidation type="list" allowBlank="1" showInputMessage="1" showErrorMessage="1" sqref="P12:P51" xr:uid="{00000000-0002-0000-0100-000001000000}">
      <formula1>使用銃</formula1>
    </dataValidation>
    <dataValidation allowBlank="1" showInputMessage="1" showErrorMessage="1" sqref="D12:N51" xr:uid="{00000000-0002-0000-0100-000002000000}"/>
  </dataValidations>
  <pageMargins left="0.70763888888888904" right="0.70763888888888904" top="0.74791666666666701" bottom="0.74791666666666701" header="0" footer="0"/>
  <pageSetup paperSize="9" scale="52" fitToHeight="0" orientation="portrait" r:id="rId1"/>
  <headerFooter>
    <oddFooter>&amp;C&amp;P / 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ER48"/>
  <sheetViews>
    <sheetView view="pageBreakPreview" zoomScale="85" zoomScaleNormal="100" zoomScaleSheetLayoutView="85" workbookViewId="0">
      <pane xSplit="3" ySplit="11" topLeftCell="D34" activePane="bottomRight" state="frozen"/>
      <selection pane="topRight"/>
      <selection pane="bottomLeft"/>
      <selection pane="bottomRight"/>
    </sheetView>
  </sheetViews>
  <sheetFormatPr defaultColWidth="12.59765625" defaultRowHeight="15" customHeight="1"/>
  <cols>
    <col min="1" max="1" width="1.5" style="142" customWidth="1"/>
    <col min="2" max="2" width="13.5" style="142" customWidth="1"/>
    <col min="3" max="3" width="10.19921875" style="142" customWidth="1"/>
    <col min="4" max="5" width="7.3984375" style="165" customWidth="1"/>
    <col min="6" max="6" width="19.19921875" style="142" customWidth="1"/>
    <col min="7" max="7" width="7.69921875" style="142" customWidth="1"/>
    <col min="8" max="8" width="23.5" style="142" customWidth="1"/>
    <col min="9" max="13" width="7.69921875" style="142" customWidth="1"/>
    <col min="14" max="16372" width="12.59765625" style="142"/>
  </cols>
  <sheetData>
    <row r="1" spans="1:8" ht="14.25" customHeight="1">
      <c r="B1" s="255" t="s">
        <v>46</v>
      </c>
      <c r="C1" s="255"/>
      <c r="D1" s="255"/>
      <c r="E1" s="255"/>
      <c r="F1" s="146"/>
      <c r="G1" s="146" t="s">
        <v>17</v>
      </c>
      <c r="H1" s="147">
        <f>MIN(B12:B41)</f>
        <v>0</v>
      </c>
    </row>
    <row r="2" spans="1:8" ht="14.25" customHeight="1">
      <c r="B2" s="255"/>
      <c r="C2" s="255"/>
      <c r="D2" s="255"/>
      <c r="E2" s="255"/>
      <c r="F2" s="146"/>
      <c r="G2" s="146" t="s">
        <v>18</v>
      </c>
      <c r="H2" s="147">
        <f>MAX(B12:B41)</f>
        <v>0</v>
      </c>
    </row>
    <row r="3" spans="1:8" ht="14.25" customHeight="1">
      <c r="B3" s="142" t="s">
        <v>19</v>
      </c>
      <c r="D3" s="219"/>
      <c r="E3" s="219"/>
      <c r="F3" s="146"/>
      <c r="G3" s="146" t="s">
        <v>20</v>
      </c>
      <c r="H3" s="147">
        <f>DATE(YEAR(H2)+3,MONTH(H2),DAY(H2))</f>
        <v>1096</v>
      </c>
    </row>
    <row r="4" spans="1:8" s="142" customFormat="1">
      <c r="C4" s="169"/>
      <c r="D4" s="170" t="s">
        <v>47</v>
      </c>
      <c r="E4" s="170"/>
    </row>
    <row r="5" spans="1:8" s="142" customFormat="1">
      <c r="C5" s="171" t="s">
        <v>23</v>
      </c>
      <c r="D5" s="172" t="s">
        <v>30</v>
      </c>
      <c r="E5" s="172" t="s">
        <v>31</v>
      </c>
    </row>
    <row r="6" spans="1:8">
      <c r="C6" s="169" t="s">
        <v>24</v>
      </c>
      <c r="D6" s="173">
        <v>0</v>
      </c>
      <c r="E6" s="173">
        <v>0</v>
      </c>
    </row>
    <row r="7" spans="1:8">
      <c r="C7" s="174" t="s">
        <v>25</v>
      </c>
      <c r="D7" s="175">
        <f>SUMIF(D12:D41,"&gt;0",D12:D41)</f>
        <v>0</v>
      </c>
      <c r="E7" s="175">
        <f>SUMIF(E12:E41,"&gt;0",E12:E41)</f>
        <v>0</v>
      </c>
    </row>
    <row r="8" spans="1:8">
      <c r="A8" s="176"/>
      <c r="C8" s="174" t="s">
        <v>26</v>
      </c>
      <c r="D8" s="175">
        <f>SUMIF(D12:D51,"&lt;0",D12:D51)</f>
        <v>0</v>
      </c>
      <c r="E8" s="175">
        <f>SUMIF(E12:E51,"&lt;0",E12:E51)</f>
        <v>0</v>
      </c>
    </row>
    <row r="9" spans="1:8">
      <c r="C9" s="253" t="s">
        <v>27</v>
      </c>
      <c r="D9" s="177">
        <f>D6+SUM(D12:D41)</f>
        <v>0</v>
      </c>
      <c r="E9" s="177">
        <f>E6+SUM(E12:E41)</f>
        <v>0</v>
      </c>
    </row>
    <row r="10" spans="1:8">
      <c r="C10" s="254"/>
      <c r="D10" s="256" t="str">
        <f>"合計："&amp;SUM(D9:E9)</f>
        <v>合計：0</v>
      </c>
      <c r="E10" s="258"/>
    </row>
    <row r="11" spans="1:8">
      <c r="B11" s="148" t="s">
        <v>28</v>
      </c>
      <c r="C11" s="149" t="s">
        <v>29</v>
      </c>
      <c r="D11" s="178" t="s">
        <v>30</v>
      </c>
      <c r="E11" s="178" t="s">
        <v>31</v>
      </c>
      <c r="F11" s="150" t="s">
        <v>38</v>
      </c>
      <c r="G11" s="151" t="s">
        <v>39</v>
      </c>
      <c r="H11" s="151" t="s">
        <v>40</v>
      </c>
    </row>
    <row r="12" spans="1:8" ht="18" customHeight="1">
      <c r="B12" s="152"/>
      <c r="C12" s="153"/>
      <c r="D12" s="179"/>
      <c r="E12" s="179"/>
      <c r="F12" s="154"/>
      <c r="G12" s="155"/>
      <c r="H12" s="156"/>
    </row>
    <row r="13" spans="1:8" ht="18" customHeight="1">
      <c r="B13" s="157"/>
      <c r="C13" s="158"/>
      <c r="D13" s="180"/>
      <c r="E13" s="180"/>
      <c r="F13" s="159"/>
      <c r="G13" s="160"/>
      <c r="H13" s="145"/>
    </row>
    <row r="14" spans="1:8" ht="18.75" customHeight="1">
      <c r="B14" s="157"/>
      <c r="C14" s="158"/>
      <c r="D14" s="180"/>
      <c r="E14" s="180"/>
      <c r="F14" s="159"/>
      <c r="G14" s="160"/>
      <c r="H14" s="145"/>
    </row>
    <row r="15" spans="1:8" ht="18.75" customHeight="1">
      <c r="B15" s="157"/>
      <c r="C15" s="158"/>
      <c r="D15" s="180"/>
      <c r="E15" s="180"/>
      <c r="F15" s="159"/>
      <c r="G15" s="160"/>
      <c r="H15" s="145"/>
    </row>
    <row r="16" spans="1:8" ht="18.75" customHeight="1">
      <c r="B16" s="157"/>
      <c r="C16" s="158"/>
      <c r="D16" s="180"/>
      <c r="E16" s="180"/>
      <c r="F16" s="159"/>
      <c r="G16" s="160"/>
      <c r="H16" s="145"/>
    </row>
    <row r="17" spans="2:8" ht="18.75" customHeight="1">
      <c r="B17" s="157"/>
      <c r="C17" s="158"/>
      <c r="D17" s="180"/>
      <c r="E17" s="180"/>
      <c r="F17" s="159"/>
      <c r="G17" s="160"/>
      <c r="H17" s="145"/>
    </row>
    <row r="18" spans="2:8" ht="18.75" customHeight="1">
      <c r="B18" s="157"/>
      <c r="C18" s="158"/>
      <c r="D18" s="180"/>
      <c r="E18" s="180"/>
      <c r="F18" s="159"/>
      <c r="G18" s="160"/>
      <c r="H18" s="145"/>
    </row>
    <row r="19" spans="2:8" ht="18.75" customHeight="1">
      <c r="B19" s="157"/>
      <c r="C19" s="158"/>
      <c r="D19" s="180"/>
      <c r="E19" s="180"/>
      <c r="F19" s="159"/>
      <c r="G19" s="160"/>
      <c r="H19" s="145"/>
    </row>
    <row r="20" spans="2:8" ht="18.75" customHeight="1">
      <c r="B20" s="157"/>
      <c r="C20" s="158"/>
      <c r="D20" s="180"/>
      <c r="E20" s="180"/>
      <c r="F20" s="159"/>
      <c r="G20" s="160"/>
      <c r="H20" s="145"/>
    </row>
    <row r="21" spans="2:8" ht="18.75" customHeight="1">
      <c r="B21" s="157"/>
      <c r="C21" s="158"/>
      <c r="D21" s="180"/>
      <c r="E21" s="180"/>
      <c r="F21" s="159"/>
      <c r="G21" s="160"/>
      <c r="H21" s="145"/>
    </row>
    <row r="22" spans="2:8" ht="18.75" customHeight="1">
      <c r="B22" s="157"/>
      <c r="C22" s="158"/>
      <c r="D22" s="180"/>
      <c r="E22" s="180"/>
      <c r="F22" s="159"/>
      <c r="G22" s="160"/>
      <c r="H22" s="145"/>
    </row>
    <row r="23" spans="2:8" ht="18.75" customHeight="1">
      <c r="B23" s="157"/>
      <c r="C23" s="158"/>
      <c r="D23" s="180"/>
      <c r="E23" s="180"/>
      <c r="F23" s="159"/>
      <c r="G23" s="160"/>
      <c r="H23" s="145"/>
    </row>
    <row r="24" spans="2:8" ht="18.75" customHeight="1">
      <c r="B24" s="157"/>
      <c r="C24" s="158"/>
      <c r="D24" s="180"/>
      <c r="E24" s="180"/>
      <c r="F24" s="159"/>
      <c r="G24" s="160"/>
      <c r="H24" s="145"/>
    </row>
    <row r="25" spans="2:8" ht="18.75" customHeight="1">
      <c r="B25" s="157"/>
      <c r="C25" s="158"/>
      <c r="D25" s="180"/>
      <c r="E25" s="180"/>
      <c r="F25" s="159"/>
      <c r="G25" s="160"/>
      <c r="H25" s="145"/>
    </row>
    <row r="26" spans="2:8" ht="18.75" customHeight="1">
      <c r="B26" s="157"/>
      <c r="C26" s="158"/>
      <c r="D26" s="180"/>
      <c r="E26" s="180"/>
      <c r="F26" s="159"/>
      <c r="G26" s="160"/>
      <c r="H26" s="145"/>
    </row>
    <row r="27" spans="2:8" ht="18.75" customHeight="1">
      <c r="B27" s="157"/>
      <c r="C27" s="158"/>
      <c r="D27" s="180"/>
      <c r="E27" s="180"/>
      <c r="F27" s="159"/>
      <c r="G27" s="160"/>
      <c r="H27" s="145"/>
    </row>
    <row r="28" spans="2:8" ht="18.75" customHeight="1">
      <c r="B28" s="157"/>
      <c r="C28" s="158"/>
      <c r="D28" s="180"/>
      <c r="E28" s="180"/>
      <c r="F28" s="159"/>
      <c r="G28" s="160"/>
      <c r="H28" s="145"/>
    </row>
    <row r="29" spans="2:8" ht="18.75" customHeight="1">
      <c r="B29" s="157"/>
      <c r="C29" s="158"/>
      <c r="D29" s="180"/>
      <c r="E29" s="180"/>
      <c r="F29" s="159"/>
      <c r="G29" s="160"/>
      <c r="H29" s="145"/>
    </row>
    <row r="30" spans="2:8" ht="18.75" customHeight="1">
      <c r="B30" s="157"/>
      <c r="C30" s="158"/>
      <c r="D30" s="180"/>
      <c r="E30" s="180"/>
      <c r="F30" s="159"/>
      <c r="G30" s="160"/>
      <c r="H30" s="145"/>
    </row>
    <row r="31" spans="2:8" ht="18.75" customHeight="1">
      <c r="B31" s="157"/>
      <c r="C31" s="158"/>
      <c r="D31" s="180"/>
      <c r="E31" s="180"/>
      <c r="F31" s="159"/>
      <c r="G31" s="160"/>
      <c r="H31" s="145"/>
    </row>
    <row r="32" spans="2:8" ht="18.75" customHeight="1">
      <c r="B32" s="157"/>
      <c r="C32" s="158"/>
      <c r="D32" s="180"/>
      <c r="E32" s="180"/>
      <c r="F32" s="159"/>
      <c r="G32" s="160"/>
      <c r="H32" s="145"/>
    </row>
    <row r="33" spans="2:8" ht="18.75" customHeight="1">
      <c r="B33" s="157"/>
      <c r="C33" s="158"/>
      <c r="D33" s="180"/>
      <c r="E33" s="180"/>
      <c r="F33" s="159"/>
      <c r="G33" s="160"/>
      <c r="H33" s="145"/>
    </row>
    <row r="34" spans="2:8" ht="18.75" customHeight="1">
      <c r="B34" s="157"/>
      <c r="C34" s="158"/>
      <c r="D34" s="180"/>
      <c r="E34" s="180"/>
      <c r="F34" s="159"/>
      <c r="G34" s="160"/>
      <c r="H34" s="145"/>
    </row>
    <row r="35" spans="2:8" ht="18.75" customHeight="1">
      <c r="B35" s="157"/>
      <c r="C35" s="158"/>
      <c r="D35" s="180"/>
      <c r="E35" s="180"/>
      <c r="F35" s="159"/>
      <c r="G35" s="160"/>
      <c r="H35" s="145"/>
    </row>
    <row r="36" spans="2:8" ht="18.75" customHeight="1">
      <c r="B36" s="157"/>
      <c r="C36" s="158"/>
      <c r="D36" s="180"/>
      <c r="E36" s="180"/>
      <c r="F36" s="159"/>
      <c r="G36" s="160"/>
      <c r="H36" s="145"/>
    </row>
    <row r="37" spans="2:8" ht="18.75" customHeight="1">
      <c r="B37" s="157"/>
      <c r="C37" s="158"/>
      <c r="D37" s="180"/>
      <c r="E37" s="180"/>
      <c r="F37" s="159"/>
      <c r="G37" s="160"/>
      <c r="H37" s="145"/>
    </row>
    <row r="38" spans="2:8" ht="18.75" customHeight="1">
      <c r="B38" s="157"/>
      <c r="C38" s="158"/>
      <c r="D38" s="180"/>
      <c r="E38" s="180"/>
      <c r="F38" s="159"/>
      <c r="G38" s="160"/>
      <c r="H38" s="145"/>
    </row>
    <row r="39" spans="2:8" ht="18.75" customHeight="1">
      <c r="B39" s="157"/>
      <c r="C39" s="158"/>
      <c r="D39" s="180"/>
      <c r="E39" s="180"/>
      <c r="F39" s="159"/>
      <c r="G39" s="160"/>
      <c r="H39" s="145"/>
    </row>
    <row r="40" spans="2:8" ht="18.75" customHeight="1">
      <c r="B40" s="157"/>
      <c r="C40" s="158"/>
      <c r="D40" s="180"/>
      <c r="E40" s="180"/>
      <c r="F40" s="159"/>
      <c r="G40" s="160"/>
      <c r="H40" s="145"/>
    </row>
    <row r="41" spans="2:8" ht="18.75" customHeight="1">
      <c r="B41" s="157"/>
      <c r="C41" s="158"/>
      <c r="D41" s="180"/>
      <c r="E41" s="180"/>
      <c r="F41" s="159"/>
      <c r="G41" s="160"/>
      <c r="H41" s="145"/>
    </row>
    <row r="42" spans="2:8" ht="18.75" customHeight="1">
      <c r="B42" s="161"/>
      <c r="C42" s="161"/>
      <c r="D42" s="161"/>
      <c r="E42" s="161"/>
      <c r="F42" s="162"/>
      <c r="G42" s="162"/>
      <c r="H42" s="162"/>
    </row>
    <row r="43" spans="2:8" ht="18.75" customHeight="1">
      <c r="B43" s="161"/>
      <c r="C43" s="161"/>
      <c r="D43" s="163" t="s">
        <v>39</v>
      </c>
      <c r="E43" s="163"/>
      <c r="F43" s="162"/>
      <c r="G43" s="162"/>
      <c r="H43" s="162"/>
    </row>
    <row r="44" spans="2:8" ht="18.75" customHeight="1">
      <c r="B44" s="261" t="s">
        <v>41</v>
      </c>
      <c r="C44" s="262"/>
      <c r="D44" s="181" t="s">
        <v>42</v>
      </c>
      <c r="E44" s="164" t="s">
        <v>43</v>
      </c>
      <c r="F44" s="162"/>
      <c r="G44" s="162"/>
      <c r="H44" s="162"/>
    </row>
    <row r="45" spans="2:8" ht="18.75" customHeight="1">
      <c r="B45" s="251" t="s">
        <v>47</v>
      </c>
      <c r="C45" s="252"/>
      <c r="D45" s="160">
        <f t="shared" ref="D45:E47" si="0">COUNTIFS($C$12:$C$41,$B45,$G$12:$G$41,D$44)</f>
        <v>0</v>
      </c>
      <c r="E45" s="160">
        <f t="shared" si="0"/>
        <v>0</v>
      </c>
    </row>
    <row r="46" spans="2:8" ht="18.75" customHeight="1">
      <c r="B46" s="251" t="s">
        <v>21</v>
      </c>
      <c r="C46" s="252"/>
      <c r="D46" s="160">
        <f t="shared" si="0"/>
        <v>0</v>
      </c>
      <c r="E46" s="160">
        <f t="shared" si="0"/>
        <v>0</v>
      </c>
    </row>
    <row r="47" spans="2:8" ht="18.75" customHeight="1">
      <c r="B47" s="251"/>
      <c r="C47" s="252"/>
      <c r="D47" s="160">
        <f t="shared" si="0"/>
        <v>0</v>
      </c>
      <c r="E47" s="160">
        <f t="shared" si="0"/>
        <v>0</v>
      </c>
    </row>
    <row r="48" spans="2:8" ht="18.75" customHeight="1">
      <c r="B48" s="165"/>
      <c r="C48" s="165"/>
    </row>
  </sheetData>
  <autoFilter ref="B11:H41" xr:uid="{00000000-0009-0000-0000-000002000000}">
    <sortState xmlns:xlrd2="http://schemas.microsoft.com/office/spreadsheetml/2017/richdata2" ref="B11:H41">
      <sortCondition ref="B9:B39"/>
    </sortState>
  </autoFilter>
  <mergeCells count="7">
    <mergeCell ref="B47:C47"/>
    <mergeCell ref="C9:C10"/>
    <mergeCell ref="B1:E2"/>
    <mergeCell ref="D10:E10"/>
    <mergeCell ref="B44:C44"/>
    <mergeCell ref="B45:C45"/>
    <mergeCell ref="B46:C46"/>
  </mergeCells>
  <phoneticPr fontId="35"/>
  <dataValidations count="4">
    <dataValidation type="list" allowBlank="1" showInputMessage="1" showErrorMessage="1" sqref="C12:C41" xr:uid="{00000000-0002-0000-0200-000000000000}">
      <formula1>用途</formula1>
    </dataValidation>
    <dataValidation type="list" allowBlank="1" showInputMessage="1" showErrorMessage="1" sqref="G12:G41" xr:uid="{00000000-0002-0000-0200-000001000000}">
      <formula1>使用銃</formula1>
    </dataValidation>
    <dataValidation type="list" allowBlank="1" showInputMessage="1" showErrorMessage="1" sqref="F12:F41" xr:uid="{00000000-0002-0000-0200-000002000000}">
      <formula1>場所</formula1>
    </dataValidation>
    <dataValidation allowBlank="1" showInputMessage="1" showErrorMessage="1" sqref="D12:E41" xr:uid="{00000000-0002-0000-0200-000003000000}"/>
  </dataValidations>
  <pageMargins left="0.70763888888888904" right="0.70763888888888904" top="0.74791666666666701" bottom="0.74791666666666701" header="0" footer="0"/>
  <pageSetup paperSize="9" scale="88" fitToHeight="0" orientation="portrait" r:id="rId1"/>
  <headerFooter>
    <oddFooter>&amp;C&amp;P / 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12.59765625" defaultRowHeight="15" customHeight="1"/>
  <cols>
    <col min="1" max="1" width="25.3984375" customWidth="1"/>
    <col min="2" max="2" width="10.3984375" customWidth="1"/>
    <col min="3" max="3" width="8.69921875" customWidth="1"/>
    <col min="4" max="5" width="10.3984375" customWidth="1"/>
    <col min="6" max="6" width="14.69921875" customWidth="1"/>
    <col min="7" max="26" width="7.69921875" customWidth="1"/>
  </cols>
  <sheetData>
    <row r="1" spans="1:6" ht="18.75" customHeight="1">
      <c r="A1" s="166">
        <f ca="1">TODAY()</f>
        <v>46047</v>
      </c>
    </row>
    <row r="2" spans="1:6" ht="18.75" customHeight="1">
      <c r="A2" s="167" t="s">
        <v>48</v>
      </c>
      <c r="B2" s="167" t="s">
        <v>49</v>
      </c>
      <c r="C2" s="167" t="s">
        <v>50</v>
      </c>
      <c r="D2" s="167" t="s">
        <v>51</v>
      </c>
      <c r="E2" s="167" t="s">
        <v>52</v>
      </c>
      <c r="F2" s="167" t="s">
        <v>53</v>
      </c>
    </row>
    <row r="3" spans="1:6" ht="18.75" customHeight="1">
      <c r="A3" s="167" t="s">
        <v>54</v>
      </c>
      <c r="B3" s="168">
        <v>44512</v>
      </c>
      <c r="C3" s="168" t="str">
        <f t="shared" ref="C3:C7" ca="1" si="0">IF($A$1&gt;D3,"注意","")</f>
        <v>注意</v>
      </c>
      <c r="D3" s="168">
        <f t="shared" ref="D3:D5" si="1">DATE(YEAR(E3),MONTH(E3)-2,DAY(E3)-1)</f>
        <v>44814</v>
      </c>
      <c r="E3" s="168">
        <f>DATE(YEAR(B3)+1,MONTH(B3),DAY(B3)-1)</f>
        <v>44876</v>
      </c>
      <c r="F3" s="167" t="s">
        <v>55</v>
      </c>
    </row>
    <row r="4" spans="1:6" ht="18.75" customHeight="1">
      <c r="A4" s="167" t="s">
        <v>56</v>
      </c>
      <c r="B4" s="168">
        <v>43559</v>
      </c>
      <c r="C4" s="168" t="str">
        <f t="shared" ca="1" si="0"/>
        <v>注意</v>
      </c>
      <c r="D4" s="168">
        <f t="shared" si="1"/>
        <v>44594</v>
      </c>
      <c r="E4" s="168">
        <f t="shared" ref="E4:E5" si="2">DATE(YEAR(B4)+3,MONTH(B4),DAY(B4)-1)</f>
        <v>44654</v>
      </c>
      <c r="F4" s="167" t="s">
        <v>57</v>
      </c>
    </row>
    <row r="5" spans="1:6" ht="18.75" customHeight="1">
      <c r="A5" s="167" t="s">
        <v>58</v>
      </c>
      <c r="B5" s="168">
        <v>43668</v>
      </c>
      <c r="C5" s="168" t="str">
        <f t="shared" ca="1" si="0"/>
        <v>注意</v>
      </c>
      <c r="D5" s="168">
        <f t="shared" si="1"/>
        <v>44701</v>
      </c>
      <c r="E5" s="168">
        <f t="shared" si="2"/>
        <v>44763</v>
      </c>
      <c r="F5" s="167" t="s">
        <v>57</v>
      </c>
    </row>
    <row r="6" spans="1:6" ht="18.75" customHeight="1">
      <c r="A6" s="167" t="s">
        <v>59</v>
      </c>
      <c r="B6" s="168">
        <v>43759</v>
      </c>
      <c r="C6" s="168" t="str">
        <f t="shared" ca="1" si="0"/>
        <v>注意</v>
      </c>
      <c r="D6" s="168">
        <f>DATE(YEAR(E6),MONTH(E6)-4,DAY(E6)-1)</f>
        <v>44491</v>
      </c>
      <c r="E6" s="168">
        <f>DATE(YEAR(B6)+3,2,23)</f>
        <v>44615</v>
      </c>
      <c r="F6" s="167" t="s">
        <v>60</v>
      </c>
    </row>
    <row r="7" spans="1:6" ht="18.75" customHeight="1">
      <c r="A7" s="167" t="s">
        <v>61</v>
      </c>
      <c r="B7" s="168">
        <v>43709</v>
      </c>
      <c r="C7" s="168" t="str">
        <f t="shared" ca="1" si="0"/>
        <v>注意</v>
      </c>
      <c r="D7" s="168">
        <f>DATE(YEAR(E7),MONTH(E7)-2,DAY(E7)-1)</f>
        <v>44742</v>
      </c>
      <c r="E7" s="168">
        <f>DATE(YEAR(B7)+3,MONTH(B7),DAY(B7)-1)</f>
        <v>44804</v>
      </c>
      <c r="F7" s="167" t="s">
        <v>57</v>
      </c>
    </row>
    <row r="8" spans="1:6" ht="18.75" customHeight="1"/>
    <row r="9" spans="1:6" ht="18.75" customHeight="1"/>
    <row r="10" spans="1:6" ht="18.75" customHeight="1"/>
    <row r="11" spans="1:6" ht="18.75" customHeight="1"/>
    <row r="12" spans="1:6" ht="18.75" customHeight="1"/>
    <row r="13" spans="1:6" ht="18.75" customHeight="1"/>
    <row r="14" spans="1:6" ht="18.75" customHeight="1"/>
    <row r="15" spans="1:6" ht="18.75" customHeight="1"/>
    <row r="16" spans="1: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35"/>
  <pageMargins left="0.69930555555555596" right="0.69930555555555596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71"/>
  <sheetViews>
    <sheetView view="pageBreakPreview" zoomScaleNormal="100" zoomScaleSheetLayoutView="100" workbookViewId="0">
      <pane xSplit="3" ySplit="5" topLeftCell="D32" activePane="bottomRight" state="frozen"/>
      <selection pane="topRight"/>
      <selection pane="bottomLeft"/>
      <selection pane="bottomRight"/>
    </sheetView>
  </sheetViews>
  <sheetFormatPr defaultColWidth="12.59765625" defaultRowHeight="15" customHeight="1"/>
  <cols>
    <col min="1" max="1" width="1.5" style="142" customWidth="1"/>
    <col min="2" max="2" width="13.5" style="142" customWidth="1"/>
    <col min="3" max="3" width="5.09765625" style="142" customWidth="1"/>
    <col min="4" max="4" width="19.19921875" style="142" customWidth="1"/>
    <col min="5" max="5" width="7.69921875" style="142" customWidth="1"/>
    <col min="6" max="6" width="23.5" style="142" customWidth="1"/>
    <col min="7" max="8" width="7.69921875" style="142" customWidth="1"/>
  </cols>
  <sheetData>
    <row r="1" spans="2:6" ht="14.25" customHeight="1">
      <c r="B1" s="255" t="s">
        <v>62</v>
      </c>
      <c r="C1" s="255"/>
      <c r="D1" s="146"/>
      <c r="E1" s="146" t="s">
        <v>17</v>
      </c>
      <c r="F1" s="147">
        <f>MIN(B6:B34)</f>
        <v>0</v>
      </c>
    </row>
    <row r="2" spans="2:6" ht="14.25" customHeight="1">
      <c r="B2" s="255"/>
      <c r="C2" s="255"/>
      <c r="D2" s="146"/>
      <c r="E2" s="146" t="s">
        <v>18</v>
      </c>
      <c r="F2" s="147">
        <f>MAX(B6:B34)</f>
        <v>0</v>
      </c>
    </row>
    <row r="3" spans="2:6" ht="14.25" customHeight="1">
      <c r="D3" s="146"/>
      <c r="E3" s="146" t="s">
        <v>20</v>
      </c>
      <c r="F3" s="147">
        <f>DATE(YEAR(F2)+3,MONTH(F2),DAY(F2))</f>
        <v>1096</v>
      </c>
    </row>
    <row r="4" spans="2:6"/>
    <row r="5" spans="2:6">
      <c r="B5" s="148" t="s">
        <v>28</v>
      </c>
      <c r="C5" s="149" t="s">
        <v>29</v>
      </c>
      <c r="D5" s="150" t="s">
        <v>38</v>
      </c>
      <c r="E5" s="151" t="s">
        <v>39</v>
      </c>
      <c r="F5" s="151" t="s">
        <v>40</v>
      </c>
    </row>
    <row r="6" spans="2:6" ht="18" customHeight="1">
      <c r="B6" s="152"/>
      <c r="C6" s="153"/>
      <c r="D6" s="154"/>
      <c r="E6" s="155"/>
      <c r="F6" s="156"/>
    </row>
    <row r="7" spans="2:6" ht="18" customHeight="1">
      <c r="B7" s="157"/>
      <c r="C7" s="158"/>
      <c r="D7" s="159"/>
      <c r="E7" s="160"/>
      <c r="F7" s="145"/>
    </row>
    <row r="8" spans="2:6" ht="18.75" customHeight="1">
      <c r="B8" s="157"/>
      <c r="C8" s="158"/>
      <c r="D8" s="159"/>
      <c r="E8" s="160"/>
      <c r="F8" s="145"/>
    </row>
    <row r="9" spans="2:6" ht="18.75" customHeight="1">
      <c r="B9" s="157"/>
      <c r="C9" s="158"/>
      <c r="D9" s="159" t="str">
        <f>IFERROR(VLOOKUP(#REF!,表紙記号!$B$15:$C$26,2,FALSE),"")</f>
        <v/>
      </c>
      <c r="E9" s="160"/>
      <c r="F9" s="145"/>
    </row>
    <row r="10" spans="2:6" ht="18.75" customHeight="1">
      <c r="B10" s="157"/>
      <c r="C10" s="158"/>
      <c r="D10" s="159" t="str">
        <f>IFERROR(VLOOKUP(#REF!,表紙記号!$B$15:$C$26,2,FALSE),"")</f>
        <v/>
      </c>
      <c r="E10" s="160"/>
      <c r="F10" s="145"/>
    </row>
    <row r="11" spans="2:6" ht="18.75" customHeight="1">
      <c r="B11" s="157"/>
      <c r="C11" s="158"/>
      <c r="D11" s="159" t="str">
        <f>IFERROR(VLOOKUP(#REF!,表紙記号!$B$15:$C$26,2,FALSE),"")</f>
        <v/>
      </c>
      <c r="E11" s="160"/>
      <c r="F11" s="145"/>
    </row>
    <row r="12" spans="2:6" ht="18.75" customHeight="1">
      <c r="B12" s="157"/>
      <c r="C12" s="158"/>
      <c r="D12" s="159" t="str">
        <f>IFERROR(VLOOKUP(#REF!,表紙記号!$B$15:$C$26,2,FALSE),"")</f>
        <v/>
      </c>
      <c r="E12" s="160"/>
      <c r="F12" s="145"/>
    </row>
    <row r="13" spans="2:6" ht="18.75" customHeight="1">
      <c r="B13" s="157"/>
      <c r="C13" s="158"/>
      <c r="D13" s="159" t="str">
        <f>IFERROR(VLOOKUP(#REF!,表紙記号!$B$15:$C$26,2,FALSE),"")</f>
        <v/>
      </c>
      <c r="E13" s="160"/>
      <c r="F13" s="145"/>
    </row>
    <row r="14" spans="2:6" ht="18.75" customHeight="1">
      <c r="B14" s="157"/>
      <c r="C14" s="158"/>
      <c r="D14" s="159" t="str">
        <f>IFERROR(VLOOKUP(#REF!,表紙記号!$B$15:$C$26,2,FALSE),"")</f>
        <v/>
      </c>
      <c r="E14" s="160"/>
      <c r="F14" s="145"/>
    </row>
    <row r="15" spans="2:6" ht="18.75" customHeight="1">
      <c r="B15" s="157"/>
      <c r="C15" s="158"/>
      <c r="D15" s="159" t="str">
        <f>IFERROR(VLOOKUP(#REF!,表紙記号!$B$15:$C$26,2,FALSE),"")</f>
        <v/>
      </c>
      <c r="E15" s="160"/>
      <c r="F15" s="145"/>
    </row>
    <row r="16" spans="2:6" ht="18.75" customHeight="1">
      <c r="B16" s="157"/>
      <c r="C16" s="158"/>
      <c r="D16" s="159" t="str">
        <f>IFERROR(VLOOKUP(#REF!,表紙記号!$B$15:$C$26,2,FALSE),"")</f>
        <v/>
      </c>
      <c r="E16" s="160"/>
      <c r="F16" s="145"/>
    </row>
    <row r="17" spans="2:6" ht="18.75" customHeight="1">
      <c r="B17" s="157"/>
      <c r="C17" s="158"/>
      <c r="D17" s="159" t="str">
        <f>IFERROR(VLOOKUP(#REF!,表紙記号!$B$15:$C$26,2,FALSE),"")</f>
        <v/>
      </c>
      <c r="E17" s="160"/>
      <c r="F17" s="145"/>
    </row>
    <row r="18" spans="2:6" ht="18.75" customHeight="1">
      <c r="B18" s="157"/>
      <c r="C18" s="158"/>
      <c r="D18" s="159" t="str">
        <f>IFERROR(VLOOKUP(#REF!,表紙記号!$B$15:$C$26,2,FALSE),"")</f>
        <v/>
      </c>
      <c r="E18" s="160"/>
      <c r="F18" s="145"/>
    </row>
    <row r="19" spans="2:6" ht="18.75" customHeight="1">
      <c r="B19" s="157"/>
      <c r="C19" s="158"/>
      <c r="D19" s="159" t="str">
        <f>IFERROR(VLOOKUP(#REF!,表紙記号!$B$15:$C$26,2,FALSE),"")</f>
        <v/>
      </c>
      <c r="E19" s="160"/>
      <c r="F19" s="145"/>
    </row>
    <row r="20" spans="2:6" ht="18.75" customHeight="1">
      <c r="B20" s="157"/>
      <c r="C20" s="158"/>
      <c r="D20" s="159" t="str">
        <f>IFERROR(VLOOKUP(#REF!,表紙記号!$B$15:$C$26,2,FALSE),"")</f>
        <v/>
      </c>
      <c r="E20" s="160"/>
      <c r="F20" s="145"/>
    </row>
    <row r="21" spans="2:6" ht="18.75" customHeight="1">
      <c r="B21" s="157"/>
      <c r="C21" s="158"/>
      <c r="D21" s="159" t="str">
        <f>IFERROR(VLOOKUP(#REF!,表紙記号!$B$15:$C$26,2,FALSE),"")</f>
        <v/>
      </c>
      <c r="E21" s="160"/>
      <c r="F21" s="145"/>
    </row>
    <row r="22" spans="2:6" ht="18.75" customHeight="1">
      <c r="B22" s="157"/>
      <c r="C22" s="158"/>
      <c r="D22" s="159" t="str">
        <f>IFERROR(VLOOKUP(#REF!,表紙記号!$B$15:$C$26,2,FALSE),"")</f>
        <v/>
      </c>
      <c r="E22" s="160"/>
      <c r="F22" s="145"/>
    </row>
    <row r="23" spans="2:6" ht="18.75" customHeight="1">
      <c r="B23" s="157"/>
      <c r="C23" s="158"/>
      <c r="D23" s="159" t="str">
        <f>IFERROR(VLOOKUP(#REF!,表紙記号!$B$15:$C$26,2,FALSE),"")</f>
        <v/>
      </c>
      <c r="E23" s="160"/>
      <c r="F23" s="145"/>
    </row>
    <row r="24" spans="2:6" ht="18.75" customHeight="1">
      <c r="B24" s="157"/>
      <c r="C24" s="158"/>
      <c r="D24" s="159" t="str">
        <f>IFERROR(VLOOKUP(#REF!,表紙記号!$B$15:$C$26,2,FALSE),"")</f>
        <v/>
      </c>
      <c r="E24" s="160"/>
      <c r="F24" s="145"/>
    </row>
    <row r="25" spans="2:6" ht="18.75" customHeight="1">
      <c r="B25" s="157"/>
      <c r="C25" s="158"/>
      <c r="D25" s="159" t="str">
        <f>IFERROR(VLOOKUP(#REF!,表紙記号!$B$15:$C$26,2,FALSE),"")</f>
        <v/>
      </c>
      <c r="E25" s="160"/>
      <c r="F25" s="145"/>
    </row>
    <row r="26" spans="2:6" ht="18.75" customHeight="1">
      <c r="B26" s="157"/>
      <c r="C26" s="158"/>
      <c r="D26" s="159" t="str">
        <f>IFERROR(VLOOKUP(#REF!,表紙記号!$B$15:$C$26,2,FALSE),"")</f>
        <v/>
      </c>
      <c r="E26" s="160"/>
      <c r="F26" s="145"/>
    </row>
    <row r="27" spans="2:6" ht="18.75" customHeight="1">
      <c r="B27" s="157"/>
      <c r="C27" s="158"/>
      <c r="D27" s="159" t="str">
        <f>IFERROR(VLOOKUP(#REF!,表紙記号!$B$15:$C$26,2,FALSE),"")</f>
        <v/>
      </c>
      <c r="E27" s="160"/>
      <c r="F27" s="145"/>
    </row>
    <row r="28" spans="2:6" ht="18.75" customHeight="1">
      <c r="B28" s="157"/>
      <c r="C28" s="158"/>
      <c r="D28" s="159" t="str">
        <f>IFERROR(VLOOKUP(#REF!,表紙記号!$B$15:$C$26,2,FALSE),"")</f>
        <v/>
      </c>
      <c r="E28" s="160"/>
      <c r="F28" s="145"/>
    </row>
    <row r="29" spans="2:6" ht="18.75" customHeight="1">
      <c r="B29" s="157"/>
      <c r="C29" s="158"/>
      <c r="D29" s="159" t="str">
        <f>IFERROR(VLOOKUP(#REF!,表紙記号!$B$15:$C$26,2,FALSE),"")</f>
        <v/>
      </c>
      <c r="E29" s="160"/>
      <c r="F29" s="145"/>
    </row>
    <row r="30" spans="2:6" ht="18.75" customHeight="1">
      <c r="B30" s="157"/>
      <c r="C30" s="158"/>
      <c r="D30" s="159" t="str">
        <f>IFERROR(VLOOKUP(#REF!,表紙記号!$B$15:$C$26,2,FALSE),"")</f>
        <v/>
      </c>
      <c r="E30" s="160"/>
      <c r="F30" s="145"/>
    </row>
    <row r="31" spans="2:6" ht="18.75" customHeight="1">
      <c r="B31" s="157"/>
      <c r="C31" s="158"/>
      <c r="D31" s="159" t="str">
        <f>IFERROR(VLOOKUP(#REF!,表紙記号!$B$15:$C$26,2,FALSE),"")</f>
        <v/>
      </c>
      <c r="E31" s="160"/>
      <c r="F31" s="145"/>
    </row>
    <row r="32" spans="2:6" ht="18.75" customHeight="1">
      <c r="B32" s="157"/>
      <c r="C32" s="158"/>
      <c r="D32" s="159" t="str">
        <f>IFERROR(VLOOKUP(#REF!,表紙記号!$B$15:$C$26,2,FALSE),"")</f>
        <v/>
      </c>
      <c r="E32" s="160"/>
      <c r="F32" s="145"/>
    </row>
    <row r="33" spans="2:6" ht="18.75" customHeight="1">
      <c r="B33" s="157"/>
      <c r="C33" s="158"/>
      <c r="D33" s="159" t="str">
        <f>IFERROR(VLOOKUP(#REF!,表紙記号!$B$15:$C$26,2,FALSE),"")</f>
        <v/>
      </c>
      <c r="E33" s="160"/>
      <c r="F33" s="145"/>
    </row>
    <row r="34" spans="2:6" ht="18.75" customHeight="1">
      <c r="B34" s="157"/>
      <c r="C34" s="158"/>
      <c r="D34" s="159" t="str">
        <f>IFERROR(VLOOKUP(#REF!,表紙記号!$B$15:$C$26,2,FALSE),"")</f>
        <v/>
      </c>
      <c r="E34" s="160"/>
      <c r="F34" s="145"/>
    </row>
    <row r="35" spans="2:6" ht="18.75" customHeight="1">
      <c r="B35" s="161"/>
      <c r="C35" s="161"/>
      <c r="D35" s="162"/>
      <c r="E35" s="162"/>
      <c r="F35" s="162"/>
    </row>
    <row r="36" spans="2:6" ht="18.75" customHeight="1">
      <c r="B36" s="161"/>
      <c r="C36" s="161"/>
      <c r="D36" s="163"/>
      <c r="E36" s="162"/>
      <c r="F36" s="162"/>
    </row>
    <row r="37" spans="2:6" ht="18.75" customHeight="1">
      <c r="B37" s="261" t="s">
        <v>41</v>
      </c>
      <c r="C37" s="262"/>
      <c r="D37" s="164" t="s">
        <v>63</v>
      </c>
      <c r="E37" s="162"/>
      <c r="F37" s="162"/>
    </row>
    <row r="38" spans="2:6" ht="18.75" customHeight="1">
      <c r="B38" s="251" t="s">
        <v>44</v>
      </c>
      <c r="C38" s="252"/>
      <c r="D38" s="160">
        <f>COUNTIFS($C$6:$C$34,$B38,$E$6:$E$34,D$37)</f>
        <v>0</v>
      </c>
    </row>
    <row r="39" spans="2:6" ht="18.75" customHeight="1">
      <c r="B39" s="251" t="s">
        <v>45</v>
      </c>
      <c r="C39" s="252"/>
      <c r="D39" s="160">
        <f>COUNTIFS($C$6:$C$34,$B39,$E$6:$E$34,D$37)</f>
        <v>0</v>
      </c>
    </row>
    <row r="40" spans="2:6" ht="18.75" customHeight="1">
      <c r="B40" s="251"/>
      <c r="C40" s="252"/>
      <c r="D40" s="160">
        <f>COUNTIFS($C$6:$C$34,$B40,$E$6:$E$34,D$37)</f>
        <v>0</v>
      </c>
    </row>
    <row r="41" spans="2:6" ht="18.75" customHeight="1">
      <c r="B41" s="165"/>
      <c r="C41" s="165"/>
      <c r="D41" s="165"/>
    </row>
    <row r="42" spans="2:6" ht="18.75" customHeight="1">
      <c r="B42" s="165"/>
      <c r="C42" s="165"/>
    </row>
    <row r="43" spans="2:6" ht="18.75" customHeight="1">
      <c r="B43" s="165"/>
      <c r="C43" s="165"/>
    </row>
    <row r="44" spans="2:6" ht="18.75" customHeight="1">
      <c r="B44" s="165"/>
      <c r="C44" s="165"/>
    </row>
    <row r="45" spans="2:6" ht="18.75" customHeight="1">
      <c r="B45" s="165"/>
      <c r="C45" s="165"/>
    </row>
    <row r="46" spans="2:6" ht="18.75" customHeight="1">
      <c r="B46" s="165"/>
      <c r="C46" s="165"/>
    </row>
    <row r="47" spans="2:6" ht="18.75" customHeight="1">
      <c r="B47" s="165"/>
      <c r="C47" s="165"/>
    </row>
    <row r="48" spans="2:6" ht="18.75" customHeight="1">
      <c r="B48" s="165"/>
      <c r="C48" s="165"/>
    </row>
    <row r="49" spans="2:3" ht="18.75" customHeight="1">
      <c r="B49" s="165"/>
      <c r="C49" s="165"/>
    </row>
    <row r="50" spans="2:3" ht="18.75" customHeight="1">
      <c r="B50" s="165"/>
      <c r="C50" s="165"/>
    </row>
    <row r="51" spans="2:3" ht="18.75" customHeight="1">
      <c r="B51" s="165"/>
      <c r="C51" s="165"/>
    </row>
    <row r="52" spans="2:3" ht="18.75" customHeight="1">
      <c r="B52" s="165"/>
      <c r="C52" s="165"/>
    </row>
    <row r="53" spans="2:3" ht="18.75" customHeight="1">
      <c r="B53" s="165"/>
      <c r="C53" s="165"/>
    </row>
    <row r="54" spans="2:3" ht="18.75" customHeight="1">
      <c r="B54" s="165"/>
      <c r="C54" s="165"/>
    </row>
    <row r="55" spans="2:3" ht="18.75" customHeight="1">
      <c r="B55" s="165"/>
      <c r="C55" s="165"/>
    </row>
    <row r="56" spans="2:3" ht="18.75" customHeight="1">
      <c r="B56" s="165"/>
      <c r="C56" s="165"/>
    </row>
    <row r="57" spans="2:3" ht="18.75" customHeight="1">
      <c r="B57" s="165"/>
      <c r="C57" s="165"/>
    </row>
    <row r="58" spans="2:3" ht="18.75" customHeight="1">
      <c r="B58" s="165"/>
      <c r="C58" s="165"/>
    </row>
    <row r="59" spans="2:3" ht="18.75" customHeight="1">
      <c r="B59" s="165"/>
      <c r="C59" s="165"/>
    </row>
    <row r="60" spans="2:3" ht="18.75" customHeight="1">
      <c r="B60" s="165"/>
      <c r="C60" s="165"/>
    </row>
    <row r="61" spans="2:3" ht="18.75" customHeight="1">
      <c r="B61" s="165"/>
      <c r="C61" s="165"/>
    </row>
    <row r="62" spans="2:3" ht="18.75" customHeight="1">
      <c r="B62" s="165"/>
      <c r="C62" s="165"/>
    </row>
    <row r="63" spans="2:3" ht="18.75" customHeight="1">
      <c r="B63" s="165"/>
      <c r="C63" s="165"/>
    </row>
    <row r="64" spans="2:3" ht="18.75" customHeight="1">
      <c r="B64" s="165"/>
      <c r="C64" s="165"/>
    </row>
    <row r="65" spans="2:3" ht="18.75" customHeight="1">
      <c r="B65" s="165"/>
      <c r="C65" s="165"/>
    </row>
    <row r="66" spans="2:3" ht="18.75" customHeight="1">
      <c r="B66" s="165"/>
      <c r="C66" s="165"/>
    </row>
    <row r="67" spans="2:3" ht="18.75" customHeight="1">
      <c r="B67" s="165"/>
      <c r="C67" s="165"/>
    </row>
    <row r="68" spans="2:3" ht="18.75" customHeight="1">
      <c r="B68" s="165"/>
      <c r="C68" s="165"/>
    </row>
    <row r="69" spans="2:3" ht="18.75" customHeight="1">
      <c r="B69" s="165"/>
      <c r="C69" s="165"/>
    </row>
    <row r="70" spans="2:3" ht="18.75" customHeight="1">
      <c r="B70" s="165"/>
      <c r="C70" s="165"/>
    </row>
    <row r="71" spans="2:3" ht="18.75" customHeight="1">
      <c r="B71" s="165"/>
      <c r="C71" s="165"/>
    </row>
    <row r="72" spans="2:3" ht="18.75" customHeight="1">
      <c r="B72" s="165"/>
      <c r="C72" s="165"/>
    </row>
    <row r="73" spans="2:3" ht="18.75" customHeight="1">
      <c r="B73" s="165"/>
      <c r="C73" s="165"/>
    </row>
    <row r="74" spans="2:3" ht="18.75" customHeight="1">
      <c r="B74" s="165"/>
      <c r="C74" s="165"/>
    </row>
    <row r="75" spans="2:3" ht="18.75" customHeight="1">
      <c r="B75" s="165"/>
      <c r="C75" s="165"/>
    </row>
    <row r="76" spans="2:3" ht="18.75" customHeight="1">
      <c r="B76" s="165"/>
      <c r="C76" s="165"/>
    </row>
    <row r="77" spans="2:3" ht="18.75" customHeight="1">
      <c r="B77" s="165"/>
      <c r="C77" s="165"/>
    </row>
    <row r="78" spans="2:3" ht="18.75" customHeight="1">
      <c r="B78" s="165"/>
      <c r="C78" s="165"/>
    </row>
    <row r="79" spans="2:3" ht="18.75" customHeight="1">
      <c r="B79" s="165"/>
      <c r="C79" s="165"/>
    </row>
    <row r="80" spans="2:3" ht="18.75" customHeight="1">
      <c r="B80" s="165"/>
      <c r="C80" s="165"/>
    </row>
    <row r="81" spans="2:3" ht="18.75" customHeight="1">
      <c r="B81" s="165"/>
      <c r="C81" s="165"/>
    </row>
    <row r="82" spans="2:3" ht="18.75" customHeight="1">
      <c r="B82" s="165"/>
      <c r="C82" s="165"/>
    </row>
    <row r="83" spans="2:3" ht="18.75" customHeight="1">
      <c r="B83" s="165"/>
      <c r="C83" s="165"/>
    </row>
    <row r="84" spans="2:3" ht="18.75" customHeight="1">
      <c r="B84" s="165"/>
      <c r="C84" s="165"/>
    </row>
    <row r="85" spans="2:3" ht="18.75" customHeight="1">
      <c r="B85" s="165"/>
      <c r="C85" s="165"/>
    </row>
    <row r="86" spans="2:3" ht="18.75" customHeight="1">
      <c r="B86" s="165"/>
      <c r="C86" s="165"/>
    </row>
    <row r="87" spans="2:3" ht="18.75" customHeight="1">
      <c r="B87" s="165"/>
      <c r="C87" s="165"/>
    </row>
    <row r="88" spans="2:3" ht="18.75" customHeight="1">
      <c r="B88" s="165"/>
      <c r="C88" s="165"/>
    </row>
    <row r="89" spans="2:3" ht="18.75" customHeight="1">
      <c r="B89" s="165"/>
      <c r="C89" s="165"/>
    </row>
    <row r="90" spans="2:3" ht="18.75" customHeight="1">
      <c r="B90" s="165"/>
      <c r="C90" s="165"/>
    </row>
    <row r="91" spans="2:3" ht="18.75" customHeight="1">
      <c r="B91" s="165"/>
      <c r="C91" s="165"/>
    </row>
    <row r="92" spans="2:3" ht="18.75" customHeight="1">
      <c r="B92" s="165"/>
      <c r="C92" s="165"/>
    </row>
    <row r="93" spans="2:3" ht="18.75" customHeight="1">
      <c r="B93" s="165"/>
      <c r="C93" s="165"/>
    </row>
    <row r="94" spans="2:3" ht="18.75" customHeight="1">
      <c r="B94" s="165"/>
      <c r="C94" s="165"/>
    </row>
    <row r="95" spans="2:3" ht="18.75" customHeight="1">
      <c r="B95" s="165"/>
      <c r="C95" s="165"/>
    </row>
    <row r="96" spans="2:3" ht="18.75" customHeight="1">
      <c r="B96" s="165"/>
      <c r="C96" s="165"/>
    </row>
    <row r="97" spans="2:3" ht="18.75" customHeight="1">
      <c r="B97" s="165"/>
      <c r="C97" s="165"/>
    </row>
    <row r="98" spans="2:3" ht="18.75" customHeight="1">
      <c r="B98" s="165"/>
      <c r="C98" s="165"/>
    </row>
    <row r="99" spans="2:3" ht="18.75" customHeight="1">
      <c r="B99" s="165"/>
      <c r="C99" s="165"/>
    </row>
    <row r="100" spans="2:3" ht="18.75" customHeight="1">
      <c r="B100" s="165"/>
      <c r="C100" s="165"/>
    </row>
    <row r="101" spans="2:3" ht="18.75" customHeight="1">
      <c r="B101" s="165"/>
      <c r="C101" s="165"/>
    </row>
    <row r="102" spans="2:3" ht="18.75" customHeight="1">
      <c r="B102" s="165"/>
      <c r="C102" s="165"/>
    </row>
    <row r="103" spans="2:3" ht="18.75" customHeight="1">
      <c r="B103" s="165"/>
      <c r="C103" s="165"/>
    </row>
    <row r="104" spans="2:3" ht="18.75" customHeight="1">
      <c r="B104" s="165"/>
      <c r="C104" s="165"/>
    </row>
    <row r="105" spans="2:3" ht="18.75" customHeight="1">
      <c r="B105" s="165"/>
      <c r="C105" s="165"/>
    </row>
    <row r="106" spans="2:3" ht="18.75" customHeight="1">
      <c r="B106" s="165"/>
      <c r="C106" s="165"/>
    </row>
    <row r="107" spans="2:3" ht="18.75" customHeight="1">
      <c r="B107" s="165"/>
      <c r="C107" s="165"/>
    </row>
    <row r="108" spans="2:3" ht="18.75" customHeight="1">
      <c r="B108" s="165"/>
      <c r="C108" s="165"/>
    </row>
    <row r="109" spans="2:3" ht="18.75" customHeight="1">
      <c r="B109" s="165"/>
      <c r="C109" s="165"/>
    </row>
    <row r="110" spans="2:3" ht="18.75" customHeight="1">
      <c r="B110" s="165"/>
      <c r="C110" s="165"/>
    </row>
    <row r="111" spans="2:3" ht="18.75" customHeight="1">
      <c r="B111" s="165"/>
      <c r="C111" s="165"/>
    </row>
    <row r="112" spans="2:3" ht="18.75" customHeight="1">
      <c r="B112" s="165"/>
      <c r="C112" s="165"/>
    </row>
    <row r="113" spans="2:3" ht="18.75" customHeight="1">
      <c r="B113" s="165"/>
      <c r="C113" s="165"/>
    </row>
    <row r="114" spans="2:3" ht="18.75" customHeight="1">
      <c r="B114" s="165"/>
      <c r="C114" s="165"/>
    </row>
    <row r="115" spans="2:3" ht="18.75" customHeight="1">
      <c r="B115" s="165"/>
      <c r="C115" s="165"/>
    </row>
    <row r="116" spans="2:3" ht="18.75" customHeight="1">
      <c r="B116" s="165"/>
      <c r="C116" s="165"/>
    </row>
    <row r="117" spans="2:3" ht="18.75" customHeight="1">
      <c r="B117" s="165"/>
      <c r="C117" s="165"/>
    </row>
    <row r="118" spans="2:3" ht="18.75" customHeight="1">
      <c r="B118" s="165"/>
      <c r="C118" s="165"/>
    </row>
    <row r="119" spans="2:3" ht="18.75" customHeight="1">
      <c r="B119" s="165"/>
      <c r="C119" s="165"/>
    </row>
    <row r="120" spans="2:3" ht="18.75" customHeight="1">
      <c r="B120" s="165"/>
      <c r="C120" s="165"/>
    </row>
    <row r="121" spans="2:3" ht="18.75" customHeight="1">
      <c r="B121" s="165"/>
      <c r="C121" s="165"/>
    </row>
    <row r="122" spans="2:3" ht="18.75" customHeight="1">
      <c r="B122" s="165"/>
      <c r="C122" s="165"/>
    </row>
    <row r="123" spans="2:3" ht="18.75" customHeight="1">
      <c r="B123" s="165"/>
      <c r="C123" s="165"/>
    </row>
    <row r="124" spans="2:3" ht="18.75" customHeight="1">
      <c r="B124" s="165"/>
      <c r="C124" s="165"/>
    </row>
    <row r="125" spans="2:3" ht="18.75" customHeight="1">
      <c r="B125" s="165"/>
      <c r="C125" s="165"/>
    </row>
    <row r="126" spans="2:3" ht="18.75" customHeight="1">
      <c r="B126" s="165"/>
      <c r="C126" s="165"/>
    </row>
    <row r="127" spans="2:3" ht="18.75" customHeight="1">
      <c r="B127" s="165"/>
      <c r="C127" s="165"/>
    </row>
    <row r="128" spans="2:3" ht="18.75" customHeight="1">
      <c r="B128" s="165"/>
      <c r="C128" s="165"/>
    </row>
    <row r="129" spans="2:3" ht="18.75" customHeight="1">
      <c r="B129" s="165"/>
      <c r="C129" s="165"/>
    </row>
    <row r="130" spans="2:3" ht="18.75" customHeight="1">
      <c r="B130" s="165"/>
      <c r="C130" s="165"/>
    </row>
    <row r="131" spans="2:3" ht="18.75" customHeight="1">
      <c r="B131" s="165"/>
      <c r="C131" s="165"/>
    </row>
    <row r="132" spans="2:3" ht="18.75" customHeight="1">
      <c r="B132" s="165"/>
      <c r="C132" s="165"/>
    </row>
    <row r="133" spans="2:3" ht="18.75" customHeight="1">
      <c r="B133" s="165"/>
      <c r="C133" s="165"/>
    </row>
    <row r="134" spans="2:3" ht="18.75" customHeight="1">
      <c r="B134" s="165"/>
      <c r="C134" s="165"/>
    </row>
    <row r="135" spans="2:3" ht="18.75" customHeight="1">
      <c r="B135" s="165"/>
      <c r="C135" s="165"/>
    </row>
    <row r="136" spans="2:3" ht="18.75" customHeight="1">
      <c r="B136" s="165"/>
      <c r="C136" s="165"/>
    </row>
    <row r="137" spans="2:3" ht="18.75" customHeight="1">
      <c r="B137" s="165"/>
      <c r="C137" s="165"/>
    </row>
    <row r="138" spans="2:3" ht="18.75" customHeight="1">
      <c r="B138" s="165"/>
      <c r="C138" s="165"/>
    </row>
    <row r="139" spans="2:3" ht="18.75" customHeight="1">
      <c r="B139" s="165"/>
      <c r="C139" s="165"/>
    </row>
    <row r="140" spans="2:3" ht="18.75" customHeight="1">
      <c r="B140" s="165"/>
      <c r="C140" s="165"/>
    </row>
    <row r="141" spans="2:3" ht="18.75" customHeight="1">
      <c r="B141" s="165"/>
      <c r="C141" s="165"/>
    </row>
    <row r="142" spans="2:3" ht="18.75" customHeight="1">
      <c r="B142" s="165"/>
      <c r="C142" s="165"/>
    </row>
    <row r="143" spans="2:3" ht="18.75" customHeight="1">
      <c r="B143" s="165"/>
      <c r="C143" s="165"/>
    </row>
    <row r="144" spans="2:3" ht="18.75" customHeight="1">
      <c r="B144" s="165"/>
      <c r="C144" s="165"/>
    </row>
    <row r="145" spans="2:3" ht="18.75" customHeight="1">
      <c r="B145" s="165"/>
      <c r="C145" s="165"/>
    </row>
    <row r="146" spans="2:3" ht="18.75" customHeight="1">
      <c r="B146" s="165"/>
      <c r="C146" s="165"/>
    </row>
    <row r="147" spans="2:3" ht="18.75" customHeight="1">
      <c r="B147" s="165"/>
      <c r="C147" s="165"/>
    </row>
    <row r="148" spans="2:3" ht="18.75" customHeight="1">
      <c r="B148" s="165"/>
      <c r="C148" s="165"/>
    </row>
    <row r="149" spans="2:3" ht="18.75" customHeight="1">
      <c r="B149" s="165"/>
      <c r="C149" s="165"/>
    </row>
    <row r="150" spans="2:3" ht="18.75" customHeight="1">
      <c r="B150" s="165"/>
      <c r="C150" s="165"/>
    </row>
    <row r="151" spans="2:3" ht="18.75" customHeight="1">
      <c r="B151" s="165"/>
      <c r="C151" s="165"/>
    </row>
    <row r="152" spans="2:3" ht="18.75" customHeight="1">
      <c r="B152" s="165"/>
      <c r="C152" s="165"/>
    </row>
    <row r="153" spans="2:3" ht="18.75" customHeight="1">
      <c r="B153" s="165"/>
      <c r="C153" s="165"/>
    </row>
    <row r="154" spans="2:3" ht="18.75" customHeight="1">
      <c r="B154" s="165"/>
      <c r="C154" s="165"/>
    </row>
    <row r="155" spans="2:3" ht="18.75" customHeight="1">
      <c r="B155" s="165"/>
      <c r="C155" s="165"/>
    </row>
    <row r="156" spans="2:3" ht="18.75" customHeight="1">
      <c r="B156" s="165"/>
      <c r="C156" s="165"/>
    </row>
    <row r="157" spans="2:3" ht="18.75" customHeight="1">
      <c r="B157" s="165"/>
      <c r="C157" s="165"/>
    </row>
    <row r="158" spans="2:3" ht="18.75" customHeight="1">
      <c r="B158" s="165"/>
      <c r="C158" s="165"/>
    </row>
    <row r="159" spans="2:3" ht="18.75" customHeight="1">
      <c r="B159" s="165"/>
      <c r="C159" s="165"/>
    </row>
    <row r="160" spans="2:3" ht="18.75" customHeight="1">
      <c r="B160" s="165"/>
      <c r="C160" s="165"/>
    </row>
    <row r="161" spans="2:3" ht="18.75" customHeight="1">
      <c r="B161" s="165"/>
      <c r="C161" s="165"/>
    </row>
    <row r="162" spans="2:3" ht="18.75" customHeight="1">
      <c r="B162" s="165"/>
      <c r="C162" s="165"/>
    </row>
    <row r="163" spans="2:3" ht="18.75" customHeight="1">
      <c r="B163" s="165"/>
      <c r="C163" s="165"/>
    </row>
    <row r="164" spans="2:3" ht="18.75" customHeight="1">
      <c r="B164" s="165"/>
      <c r="C164" s="165"/>
    </row>
    <row r="165" spans="2:3" ht="18.75" customHeight="1">
      <c r="B165" s="165"/>
      <c r="C165" s="165"/>
    </row>
    <row r="166" spans="2:3" ht="18.75" customHeight="1">
      <c r="B166" s="165"/>
      <c r="C166" s="165"/>
    </row>
    <row r="167" spans="2:3" ht="18.75" customHeight="1">
      <c r="B167" s="165"/>
      <c r="C167" s="165"/>
    </row>
    <row r="168" spans="2:3" ht="18.75" customHeight="1">
      <c r="B168" s="165"/>
      <c r="C168" s="165"/>
    </row>
    <row r="169" spans="2:3" ht="18.75" customHeight="1">
      <c r="B169" s="165"/>
      <c r="C169" s="165"/>
    </row>
    <row r="170" spans="2:3" ht="18.75" customHeight="1">
      <c r="B170" s="165"/>
      <c r="C170" s="165"/>
    </row>
    <row r="171" spans="2:3" ht="18.75" customHeight="1">
      <c r="B171" s="165"/>
      <c r="C171" s="165"/>
    </row>
    <row r="172" spans="2:3" ht="18.75" customHeight="1">
      <c r="B172" s="165"/>
      <c r="C172" s="165"/>
    </row>
    <row r="173" spans="2:3" ht="18.75" customHeight="1">
      <c r="B173" s="165"/>
      <c r="C173" s="165"/>
    </row>
    <row r="174" spans="2:3" ht="18.75" customHeight="1">
      <c r="B174" s="165"/>
      <c r="C174" s="165"/>
    </row>
    <row r="175" spans="2:3" ht="18.75" customHeight="1">
      <c r="B175" s="165"/>
      <c r="C175" s="165"/>
    </row>
    <row r="176" spans="2:3" ht="18.75" customHeight="1">
      <c r="B176" s="165"/>
      <c r="C176" s="165"/>
    </row>
    <row r="177" spans="2:3" ht="18.75" customHeight="1">
      <c r="B177" s="165"/>
      <c r="C177" s="165"/>
    </row>
    <row r="178" spans="2:3" ht="18.75" customHeight="1">
      <c r="B178" s="165"/>
      <c r="C178" s="165"/>
    </row>
    <row r="179" spans="2:3" ht="18.75" customHeight="1">
      <c r="B179" s="165"/>
      <c r="C179" s="165"/>
    </row>
    <row r="180" spans="2:3" ht="18.75" customHeight="1">
      <c r="B180" s="165"/>
      <c r="C180" s="165"/>
    </row>
    <row r="181" spans="2:3" ht="18.75" customHeight="1">
      <c r="B181" s="165"/>
      <c r="C181" s="165"/>
    </row>
    <row r="182" spans="2:3" ht="18.75" customHeight="1">
      <c r="B182" s="165"/>
      <c r="C182" s="165"/>
    </row>
    <row r="183" spans="2:3" ht="18.75" customHeight="1">
      <c r="B183" s="165"/>
      <c r="C183" s="165"/>
    </row>
    <row r="184" spans="2:3" ht="18.75" customHeight="1">
      <c r="B184" s="165"/>
      <c r="C184" s="165"/>
    </row>
    <row r="185" spans="2:3" ht="18.75" customHeight="1">
      <c r="B185" s="165"/>
      <c r="C185" s="165"/>
    </row>
    <row r="186" spans="2:3" ht="18.75" customHeight="1">
      <c r="B186" s="165"/>
      <c r="C186" s="165"/>
    </row>
    <row r="187" spans="2:3" ht="18.75" customHeight="1">
      <c r="B187" s="165"/>
      <c r="C187" s="165"/>
    </row>
    <row r="188" spans="2:3" ht="18.75" customHeight="1">
      <c r="B188" s="165"/>
      <c r="C188" s="165"/>
    </row>
    <row r="189" spans="2:3" ht="18.75" customHeight="1">
      <c r="B189" s="165"/>
      <c r="C189" s="165"/>
    </row>
    <row r="190" spans="2:3" ht="18.75" customHeight="1">
      <c r="B190" s="165"/>
      <c r="C190" s="165"/>
    </row>
    <row r="191" spans="2:3" ht="18.75" customHeight="1">
      <c r="B191" s="165"/>
      <c r="C191" s="165"/>
    </row>
    <row r="192" spans="2:3" ht="18.75" customHeight="1">
      <c r="B192" s="165"/>
      <c r="C192" s="165"/>
    </row>
    <row r="193" spans="2:3" ht="18.75" customHeight="1">
      <c r="B193" s="165"/>
      <c r="C193" s="165"/>
    </row>
    <row r="194" spans="2:3" ht="18.75" customHeight="1">
      <c r="B194" s="165"/>
      <c r="C194" s="165"/>
    </row>
    <row r="195" spans="2:3" ht="18.75" customHeight="1">
      <c r="B195" s="165"/>
      <c r="C195" s="165"/>
    </row>
    <row r="196" spans="2:3" ht="18.75" customHeight="1">
      <c r="B196" s="165"/>
      <c r="C196" s="165"/>
    </row>
    <row r="197" spans="2:3" ht="18.75" customHeight="1">
      <c r="B197" s="165"/>
      <c r="C197" s="165"/>
    </row>
    <row r="198" spans="2:3" ht="18.75" customHeight="1">
      <c r="B198" s="165"/>
      <c r="C198" s="165"/>
    </row>
    <row r="199" spans="2:3" ht="18.75" customHeight="1">
      <c r="B199" s="165"/>
      <c r="C199" s="165"/>
    </row>
    <row r="200" spans="2:3" ht="18.75" customHeight="1">
      <c r="B200" s="165"/>
      <c r="C200" s="165"/>
    </row>
    <row r="201" spans="2:3" ht="18.75" customHeight="1">
      <c r="B201" s="165"/>
      <c r="C201" s="165"/>
    </row>
    <row r="202" spans="2:3" ht="18.75" customHeight="1">
      <c r="B202" s="165"/>
      <c r="C202" s="165"/>
    </row>
    <row r="203" spans="2:3" ht="18.75" customHeight="1">
      <c r="B203" s="165"/>
      <c r="C203" s="165"/>
    </row>
    <row r="204" spans="2:3" ht="18.75" customHeight="1">
      <c r="B204" s="165"/>
      <c r="C204" s="165"/>
    </row>
    <row r="205" spans="2:3" ht="18.75" customHeight="1">
      <c r="B205" s="165"/>
      <c r="C205" s="165"/>
    </row>
    <row r="206" spans="2:3" ht="18.75" customHeight="1">
      <c r="B206" s="165"/>
      <c r="C206" s="165"/>
    </row>
    <row r="207" spans="2:3" ht="18.75" customHeight="1">
      <c r="B207" s="165"/>
      <c r="C207" s="165"/>
    </row>
    <row r="208" spans="2:3" ht="18.75" customHeight="1">
      <c r="B208" s="165"/>
      <c r="C208" s="165"/>
    </row>
    <row r="209" spans="2:3" ht="18.75" customHeight="1">
      <c r="B209" s="165"/>
      <c r="C209" s="165"/>
    </row>
    <row r="210" spans="2:3" ht="18.75" customHeight="1">
      <c r="B210" s="165"/>
      <c r="C210" s="165"/>
    </row>
    <row r="211" spans="2:3" ht="18.75" customHeight="1">
      <c r="B211" s="165"/>
      <c r="C211" s="165"/>
    </row>
    <row r="212" spans="2:3" ht="18.75" customHeight="1">
      <c r="B212" s="165"/>
      <c r="C212" s="165"/>
    </row>
    <row r="213" spans="2:3" ht="18.75" customHeight="1">
      <c r="B213" s="165"/>
      <c r="C213" s="165"/>
    </row>
    <row r="214" spans="2:3" ht="18.75" customHeight="1">
      <c r="B214" s="165"/>
      <c r="C214" s="165"/>
    </row>
    <row r="215" spans="2:3" ht="18.75" customHeight="1">
      <c r="B215" s="165"/>
      <c r="C215" s="165"/>
    </row>
    <row r="216" spans="2:3" ht="18.75" customHeight="1">
      <c r="B216" s="165"/>
      <c r="C216" s="165"/>
    </row>
    <row r="217" spans="2:3" ht="18.75" customHeight="1">
      <c r="B217" s="165"/>
      <c r="C217" s="165"/>
    </row>
    <row r="218" spans="2:3" ht="18.75" customHeight="1">
      <c r="B218" s="165"/>
      <c r="C218" s="165"/>
    </row>
    <row r="219" spans="2:3" ht="18.75" customHeight="1">
      <c r="B219" s="165"/>
      <c r="C219" s="165"/>
    </row>
    <row r="220" spans="2:3" ht="18.75" customHeight="1">
      <c r="B220" s="165"/>
      <c r="C220" s="165"/>
    </row>
    <row r="221" spans="2:3" ht="18.75" customHeight="1">
      <c r="B221" s="165"/>
      <c r="C221" s="165"/>
    </row>
    <row r="222" spans="2:3" ht="18.75" customHeight="1">
      <c r="B222" s="165"/>
      <c r="C222" s="165"/>
    </row>
    <row r="223" spans="2:3" ht="18.75" customHeight="1">
      <c r="B223" s="165"/>
      <c r="C223" s="165"/>
    </row>
    <row r="224" spans="2:3" ht="18.75" customHeight="1">
      <c r="B224" s="165"/>
      <c r="C224" s="165"/>
    </row>
    <row r="225" spans="2:3" ht="18.75" customHeight="1">
      <c r="B225" s="165"/>
      <c r="C225" s="165"/>
    </row>
    <row r="226" spans="2:3" ht="18.75" customHeight="1">
      <c r="B226" s="165"/>
      <c r="C226" s="165"/>
    </row>
    <row r="227" spans="2:3" ht="18.75" customHeight="1">
      <c r="B227" s="165"/>
      <c r="C227" s="165"/>
    </row>
    <row r="228" spans="2:3" ht="18.75" customHeight="1">
      <c r="B228" s="165"/>
      <c r="C228" s="165"/>
    </row>
    <row r="229" spans="2:3" ht="18.75" customHeight="1">
      <c r="B229" s="165"/>
      <c r="C229" s="165"/>
    </row>
    <row r="230" spans="2:3" ht="18.75" customHeight="1">
      <c r="B230" s="165"/>
      <c r="C230" s="165"/>
    </row>
    <row r="231" spans="2:3" ht="18.75" customHeight="1">
      <c r="B231" s="165"/>
      <c r="C231" s="165"/>
    </row>
    <row r="232" spans="2:3" ht="18.75" customHeight="1">
      <c r="B232" s="165"/>
      <c r="C232" s="165"/>
    </row>
    <row r="233" spans="2:3" ht="18.75" customHeight="1">
      <c r="B233" s="165"/>
      <c r="C233" s="165"/>
    </row>
    <row r="234" spans="2:3" ht="18.75" customHeight="1">
      <c r="B234" s="165"/>
      <c r="C234" s="165"/>
    </row>
    <row r="235" spans="2:3" ht="18.75" customHeight="1">
      <c r="B235" s="165"/>
      <c r="C235" s="165"/>
    </row>
    <row r="236" spans="2:3" ht="18.75" customHeight="1">
      <c r="B236" s="165"/>
      <c r="C236" s="165"/>
    </row>
    <row r="237" spans="2:3" ht="18.75" customHeight="1">
      <c r="B237" s="165"/>
      <c r="C237" s="165"/>
    </row>
    <row r="238" spans="2:3" ht="18.75" customHeight="1">
      <c r="B238" s="165"/>
      <c r="C238" s="165"/>
    </row>
    <row r="239" spans="2:3" ht="18.75" customHeight="1">
      <c r="B239" s="165"/>
      <c r="C239" s="165"/>
    </row>
    <row r="240" spans="2:3" ht="18.75" customHeight="1">
      <c r="B240" s="165"/>
      <c r="C240" s="165"/>
    </row>
    <row r="241" spans="2:3" ht="18.75" customHeight="1">
      <c r="B241" s="165"/>
      <c r="C241" s="165"/>
    </row>
    <row r="242" spans="2:3" ht="18.75" customHeight="1">
      <c r="B242" s="165"/>
      <c r="C242" s="165"/>
    </row>
    <row r="243" spans="2:3" ht="18.75" customHeight="1">
      <c r="B243" s="165"/>
      <c r="C243" s="165"/>
    </row>
    <row r="244" spans="2:3" ht="18.75" customHeight="1">
      <c r="B244" s="165"/>
      <c r="C244" s="165"/>
    </row>
    <row r="245" spans="2:3" ht="18.75" customHeight="1">
      <c r="B245" s="165"/>
      <c r="C245" s="165"/>
    </row>
    <row r="246" spans="2:3" ht="18.75" customHeight="1">
      <c r="B246" s="165"/>
      <c r="C246" s="165"/>
    </row>
    <row r="247" spans="2:3" ht="18.75" customHeight="1">
      <c r="B247" s="165"/>
      <c r="C247" s="165"/>
    </row>
    <row r="248" spans="2:3" ht="18.75" customHeight="1">
      <c r="B248" s="165"/>
      <c r="C248" s="165"/>
    </row>
    <row r="249" spans="2:3" ht="18.75" customHeight="1">
      <c r="B249" s="165"/>
      <c r="C249" s="165"/>
    </row>
    <row r="250" spans="2:3" ht="18.75" customHeight="1">
      <c r="B250" s="165"/>
      <c r="C250" s="165"/>
    </row>
    <row r="251" spans="2:3" ht="18.75" customHeight="1">
      <c r="B251" s="165"/>
      <c r="C251" s="165"/>
    </row>
    <row r="252" spans="2:3" ht="18.75" customHeight="1">
      <c r="B252" s="165"/>
      <c r="C252" s="165"/>
    </row>
    <row r="253" spans="2:3" ht="18.75" customHeight="1">
      <c r="B253" s="165"/>
      <c r="C253" s="165"/>
    </row>
    <row r="254" spans="2:3" ht="18.75" customHeight="1">
      <c r="B254" s="165"/>
      <c r="C254" s="165"/>
    </row>
    <row r="255" spans="2:3" ht="18.75" customHeight="1">
      <c r="B255" s="165"/>
      <c r="C255" s="165"/>
    </row>
    <row r="256" spans="2:3" ht="18.75" customHeight="1">
      <c r="B256" s="165"/>
      <c r="C256" s="165"/>
    </row>
    <row r="257" spans="2:3" ht="18.75" customHeight="1">
      <c r="B257" s="165"/>
      <c r="C257" s="165"/>
    </row>
    <row r="258" spans="2:3" ht="18.75" customHeight="1">
      <c r="B258" s="165"/>
      <c r="C258" s="165"/>
    </row>
    <row r="259" spans="2:3" ht="18.75" customHeight="1">
      <c r="B259" s="165"/>
      <c r="C259" s="165"/>
    </row>
    <row r="260" spans="2:3" ht="18.75" customHeight="1">
      <c r="B260" s="165"/>
      <c r="C260" s="165"/>
    </row>
    <row r="261" spans="2:3" ht="18.75" customHeight="1">
      <c r="B261" s="165"/>
      <c r="C261" s="165"/>
    </row>
    <row r="262" spans="2:3" ht="18.75" customHeight="1">
      <c r="B262" s="165"/>
      <c r="C262" s="165"/>
    </row>
    <row r="263" spans="2:3" ht="18.75" customHeight="1">
      <c r="B263" s="165"/>
      <c r="C263" s="165"/>
    </row>
    <row r="264" spans="2:3" ht="18.75" customHeight="1">
      <c r="B264" s="165"/>
      <c r="C264" s="165"/>
    </row>
    <row r="265" spans="2:3" ht="18.75" customHeight="1">
      <c r="B265" s="165"/>
      <c r="C265" s="165"/>
    </row>
    <row r="266" spans="2:3" ht="18.75" customHeight="1">
      <c r="B266" s="165"/>
      <c r="C266" s="165"/>
    </row>
    <row r="267" spans="2:3" ht="18.75" customHeight="1">
      <c r="B267" s="165"/>
      <c r="C267" s="165"/>
    </row>
    <row r="268" spans="2:3" ht="18.75" customHeight="1">
      <c r="B268" s="165"/>
      <c r="C268" s="165"/>
    </row>
    <row r="269" spans="2:3" ht="18.75" customHeight="1">
      <c r="B269" s="165"/>
      <c r="C269" s="165"/>
    </row>
    <row r="270" spans="2:3" ht="18.75" customHeight="1">
      <c r="B270" s="165"/>
      <c r="C270" s="165"/>
    </row>
    <row r="271" spans="2:3" ht="18.75" customHeight="1">
      <c r="B271" s="165"/>
      <c r="C271" s="165"/>
    </row>
    <row r="272" spans="2:3" ht="18.75" customHeight="1">
      <c r="B272" s="165"/>
      <c r="C272" s="165"/>
    </row>
    <row r="273" spans="2:3" ht="18.75" customHeight="1">
      <c r="B273" s="165"/>
      <c r="C273" s="165"/>
    </row>
    <row r="274" spans="2:3" ht="18.75" customHeight="1">
      <c r="B274" s="165"/>
      <c r="C274" s="165"/>
    </row>
    <row r="275" spans="2:3" ht="18.75" customHeight="1">
      <c r="B275" s="165"/>
      <c r="C275" s="165"/>
    </row>
    <row r="276" spans="2:3" ht="18.75" customHeight="1">
      <c r="B276" s="165"/>
      <c r="C276" s="165"/>
    </row>
    <row r="277" spans="2:3" ht="18.75" customHeight="1">
      <c r="B277" s="165"/>
      <c r="C277" s="165"/>
    </row>
    <row r="278" spans="2:3" ht="18.75" customHeight="1">
      <c r="B278" s="165"/>
      <c r="C278" s="165"/>
    </row>
    <row r="279" spans="2:3" ht="18.75" customHeight="1">
      <c r="B279" s="165"/>
      <c r="C279" s="165"/>
    </row>
    <row r="280" spans="2:3" ht="18.75" customHeight="1">
      <c r="B280" s="165"/>
      <c r="C280" s="165"/>
    </row>
    <row r="281" spans="2:3" ht="18.75" customHeight="1">
      <c r="B281" s="165"/>
      <c r="C281" s="165"/>
    </row>
    <row r="282" spans="2:3" ht="18.75" customHeight="1">
      <c r="B282" s="165"/>
      <c r="C282" s="165"/>
    </row>
    <row r="283" spans="2:3" ht="18.75" customHeight="1">
      <c r="B283" s="165"/>
      <c r="C283" s="165"/>
    </row>
    <row r="284" spans="2:3" ht="18.75" customHeight="1">
      <c r="B284" s="165"/>
      <c r="C284" s="165"/>
    </row>
    <row r="285" spans="2:3" ht="18.75" customHeight="1">
      <c r="B285" s="165"/>
      <c r="C285" s="165"/>
    </row>
    <row r="286" spans="2:3" ht="18.75" customHeight="1">
      <c r="B286" s="165"/>
      <c r="C286" s="165"/>
    </row>
    <row r="287" spans="2:3" ht="18.75" customHeight="1">
      <c r="B287" s="165"/>
      <c r="C287" s="165"/>
    </row>
    <row r="288" spans="2:3" ht="18.75" customHeight="1">
      <c r="B288" s="165"/>
      <c r="C288" s="165"/>
    </row>
    <row r="289" spans="2:3" ht="18.75" customHeight="1">
      <c r="B289" s="165"/>
      <c r="C289" s="165"/>
    </row>
    <row r="290" spans="2:3" ht="18.75" customHeight="1">
      <c r="B290" s="165"/>
      <c r="C290" s="165"/>
    </row>
    <row r="291" spans="2:3" ht="18.75" customHeight="1">
      <c r="B291" s="165"/>
      <c r="C291" s="165"/>
    </row>
    <row r="292" spans="2:3" ht="18.75" customHeight="1">
      <c r="B292" s="165"/>
      <c r="C292" s="165"/>
    </row>
    <row r="293" spans="2:3" ht="18.75" customHeight="1">
      <c r="B293" s="165"/>
      <c r="C293" s="165"/>
    </row>
    <row r="294" spans="2:3" ht="18.75" customHeight="1">
      <c r="B294" s="165"/>
      <c r="C294" s="165"/>
    </row>
    <row r="295" spans="2:3" ht="18.75" customHeight="1">
      <c r="B295" s="165"/>
      <c r="C295" s="165"/>
    </row>
    <row r="296" spans="2:3" ht="18.75" customHeight="1">
      <c r="B296" s="165"/>
      <c r="C296" s="165"/>
    </row>
    <row r="297" spans="2:3" ht="18.75" customHeight="1">
      <c r="B297" s="165"/>
      <c r="C297" s="165"/>
    </row>
    <row r="298" spans="2:3" ht="18.75" customHeight="1">
      <c r="B298" s="165"/>
      <c r="C298" s="165"/>
    </row>
    <row r="299" spans="2:3" ht="18.75" customHeight="1">
      <c r="B299" s="165"/>
      <c r="C299" s="165"/>
    </row>
    <row r="300" spans="2:3" ht="18.75" customHeight="1">
      <c r="B300" s="165"/>
      <c r="C300" s="165"/>
    </row>
    <row r="301" spans="2:3" ht="18.75" customHeight="1">
      <c r="B301" s="165"/>
      <c r="C301" s="165"/>
    </row>
    <row r="302" spans="2:3" ht="18.75" customHeight="1">
      <c r="B302" s="165"/>
      <c r="C302" s="165"/>
    </row>
    <row r="303" spans="2:3" ht="18.75" customHeight="1">
      <c r="B303" s="165"/>
      <c r="C303" s="165"/>
    </row>
    <row r="304" spans="2:3" ht="18.75" customHeight="1">
      <c r="B304" s="165"/>
      <c r="C304" s="165"/>
    </row>
    <row r="305" spans="2:3" ht="18.75" customHeight="1">
      <c r="B305" s="165"/>
      <c r="C305" s="165"/>
    </row>
    <row r="306" spans="2:3" ht="18.75" customHeight="1">
      <c r="B306" s="165"/>
      <c r="C306" s="165"/>
    </row>
    <row r="307" spans="2:3" ht="18.75" customHeight="1">
      <c r="B307" s="165"/>
      <c r="C307" s="165"/>
    </row>
    <row r="308" spans="2:3" ht="18.75" customHeight="1">
      <c r="B308" s="165"/>
      <c r="C308" s="165"/>
    </row>
    <row r="309" spans="2:3" ht="18.75" customHeight="1">
      <c r="B309" s="165"/>
      <c r="C309" s="165"/>
    </row>
    <row r="310" spans="2:3" ht="18.75" customHeight="1">
      <c r="B310" s="165"/>
      <c r="C310" s="165"/>
    </row>
    <row r="311" spans="2:3" ht="18.75" customHeight="1">
      <c r="B311" s="165"/>
      <c r="C311" s="165"/>
    </row>
    <row r="312" spans="2:3" ht="18.75" customHeight="1">
      <c r="B312" s="165"/>
      <c r="C312" s="165"/>
    </row>
    <row r="313" spans="2:3" ht="18.75" customHeight="1">
      <c r="B313" s="165"/>
      <c r="C313" s="165"/>
    </row>
    <row r="314" spans="2:3" ht="18.75" customHeight="1">
      <c r="B314" s="165"/>
      <c r="C314" s="165"/>
    </row>
    <row r="315" spans="2:3" ht="18.75" customHeight="1">
      <c r="B315" s="165"/>
      <c r="C315" s="165"/>
    </row>
    <row r="316" spans="2:3" ht="18.75" customHeight="1">
      <c r="B316" s="165"/>
      <c r="C316" s="165"/>
    </row>
    <row r="317" spans="2:3" ht="18.75" customHeight="1">
      <c r="B317" s="165"/>
      <c r="C317" s="165"/>
    </row>
    <row r="318" spans="2:3" ht="18.75" customHeight="1">
      <c r="B318" s="165"/>
      <c r="C318" s="165"/>
    </row>
    <row r="319" spans="2:3" ht="18.75" customHeight="1">
      <c r="B319" s="165"/>
      <c r="C319" s="165"/>
    </row>
    <row r="320" spans="2:3" ht="18.75" customHeight="1">
      <c r="B320" s="165"/>
      <c r="C320" s="165"/>
    </row>
    <row r="321" spans="2:3" ht="18.75" customHeight="1">
      <c r="B321" s="165"/>
      <c r="C321" s="165"/>
    </row>
    <row r="322" spans="2:3" ht="18.75" customHeight="1">
      <c r="B322" s="165"/>
      <c r="C322" s="165"/>
    </row>
    <row r="323" spans="2:3" ht="18.75" customHeight="1">
      <c r="B323" s="165"/>
      <c r="C323" s="165"/>
    </row>
    <row r="324" spans="2:3" ht="18.75" customHeight="1">
      <c r="B324" s="165"/>
      <c r="C324" s="165"/>
    </row>
    <row r="325" spans="2:3" ht="18.75" customHeight="1">
      <c r="B325" s="165"/>
      <c r="C325" s="165"/>
    </row>
    <row r="326" spans="2:3" ht="18.75" customHeight="1">
      <c r="B326" s="165"/>
      <c r="C326" s="165"/>
    </row>
    <row r="327" spans="2:3" ht="18.75" customHeight="1">
      <c r="B327" s="165"/>
      <c r="C327" s="165"/>
    </row>
    <row r="328" spans="2:3" ht="18.75" customHeight="1">
      <c r="B328" s="165"/>
      <c r="C328" s="165"/>
    </row>
    <row r="329" spans="2:3" ht="18.75" customHeight="1">
      <c r="B329" s="165"/>
      <c r="C329" s="165"/>
    </row>
    <row r="330" spans="2:3" ht="18.75" customHeight="1">
      <c r="B330" s="165"/>
      <c r="C330" s="165"/>
    </row>
    <row r="331" spans="2:3" ht="18.75" customHeight="1">
      <c r="B331" s="165"/>
      <c r="C331" s="165"/>
    </row>
    <row r="332" spans="2:3" ht="18.75" customHeight="1">
      <c r="B332" s="165"/>
      <c r="C332" s="165"/>
    </row>
    <row r="333" spans="2:3" ht="18.75" customHeight="1">
      <c r="B333" s="165"/>
      <c r="C333" s="165"/>
    </row>
    <row r="334" spans="2:3" ht="18.75" customHeight="1">
      <c r="B334" s="165"/>
      <c r="C334" s="165"/>
    </row>
    <row r="335" spans="2:3" ht="18.75" customHeight="1">
      <c r="B335" s="165"/>
      <c r="C335" s="165"/>
    </row>
    <row r="336" spans="2:3" ht="18.75" customHeight="1">
      <c r="B336" s="165"/>
      <c r="C336" s="165"/>
    </row>
    <row r="337" spans="2:3" ht="18.75" customHeight="1">
      <c r="B337" s="165"/>
      <c r="C337" s="165"/>
    </row>
    <row r="338" spans="2:3" ht="18.75" customHeight="1">
      <c r="B338" s="165"/>
      <c r="C338" s="165"/>
    </row>
    <row r="339" spans="2:3" ht="18.75" customHeight="1">
      <c r="B339" s="165"/>
      <c r="C339" s="165"/>
    </row>
    <row r="340" spans="2:3" ht="18.75" customHeight="1">
      <c r="B340" s="165"/>
      <c r="C340" s="165"/>
    </row>
    <row r="341" spans="2:3" ht="18.75" customHeight="1">
      <c r="B341" s="165"/>
      <c r="C341" s="165"/>
    </row>
    <row r="342" spans="2:3" ht="18.75" customHeight="1">
      <c r="B342" s="165"/>
      <c r="C342" s="165"/>
    </row>
    <row r="343" spans="2:3" ht="18.75" customHeight="1">
      <c r="B343" s="165"/>
      <c r="C343" s="165"/>
    </row>
    <row r="344" spans="2:3" ht="18.75" customHeight="1">
      <c r="B344" s="165"/>
      <c r="C344" s="165"/>
    </row>
    <row r="345" spans="2:3" ht="18.75" customHeight="1">
      <c r="B345" s="165"/>
      <c r="C345" s="165"/>
    </row>
    <row r="346" spans="2:3" ht="18.75" customHeight="1">
      <c r="B346" s="165"/>
      <c r="C346" s="165"/>
    </row>
    <row r="347" spans="2:3" ht="18.75" customHeight="1">
      <c r="B347" s="165"/>
      <c r="C347" s="165"/>
    </row>
    <row r="348" spans="2:3" ht="18.75" customHeight="1">
      <c r="B348" s="165"/>
      <c r="C348" s="165"/>
    </row>
    <row r="349" spans="2:3" ht="18.75" customHeight="1">
      <c r="B349" s="165"/>
      <c r="C349" s="165"/>
    </row>
    <row r="350" spans="2:3" ht="18.75" customHeight="1">
      <c r="B350" s="165"/>
      <c r="C350" s="165"/>
    </row>
    <row r="351" spans="2:3" ht="18.75" customHeight="1">
      <c r="B351" s="165"/>
      <c r="C351" s="165"/>
    </row>
    <row r="352" spans="2:3" ht="18.75" customHeight="1">
      <c r="B352" s="165"/>
      <c r="C352" s="165"/>
    </row>
    <row r="353" spans="2:3" ht="18.75" customHeight="1">
      <c r="B353" s="165"/>
      <c r="C353" s="165"/>
    </row>
    <row r="354" spans="2:3" ht="18.75" customHeight="1">
      <c r="B354" s="165"/>
      <c r="C354" s="165"/>
    </row>
    <row r="355" spans="2:3" ht="18.75" customHeight="1">
      <c r="B355" s="165"/>
      <c r="C355" s="165"/>
    </row>
    <row r="356" spans="2:3" ht="18.75" customHeight="1">
      <c r="B356" s="165"/>
      <c r="C356" s="165"/>
    </row>
    <row r="357" spans="2:3" ht="18.75" customHeight="1">
      <c r="B357" s="165"/>
      <c r="C357" s="165"/>
    </row>
    <row r="358" spans="2:3" ht="18.75" customHeight="1">
      <c r="B358" s="165"/>
      <c r="C358" s="165"/>
    </row>
    <row r="359" spans="2:3" ht="18.75" customHeight="1">
      <c r="B359" s="165"/>
      <c r="C359" s="165"/>
    </row>
    <row r="360" spans="2:3" ht="18.75" customHeight="1">
      <c r="B360" s="165"/>
      <c r="C360" s="165"/>
    </row>
    <row r="361" spans="2:3" ht="18.75" customHeight="1">
      <c r="B361" s="165"/>
      <c r="C361" s="165"/>
    </row>
    <row r="362" spans="2:3" ht="18.75" customHeight="1">
      <c r="B362" s="165"/>
      <c r="C362" s="165"/>
    </row>
    <row r="363" spans="2:3" ht="18.75" customHeight="1">
      <c r="B363" s="165"/>
      <c r="C363" s="165"/>
    </row>
    <row r="364" spans="2:3" ht="18.75" customHeight="1">
      <c r="B364" s="165"/>
      <c r="C364" s="165"/>
    </row>
    <row r="365" spans="2:3" ht="18.75" customHeight="1">
      <c r="B365" s="165"/>
      <c r="C365" s="165"/>
    </row>
    <row r="366" spans="2:3" ht="18.75" customHeight="1">
      <c r="B366" s="165"/>
      <c r="C366" s="165"/>
    </row>
    <row r="367" spans="2:3" ht="18.75" customHeight="1">
      <c r="B367" s="165"/>
      <c r="C367" s="165"/>
    </row>
    <row r="368" spans="2:3" ht="18.75" customHeight="1">
      <c r="B368" s="165"/>
      <c r="C368" s="165"/>
    </row>
    <row r="369" spans="2:3" ht="18.75" customHeight="1">
      <c r="B369" s="165"/>
      <c r="C369" s="165"/>
    </row>
    <row r="370" spans="2:3" ht="18.75" customHeight="1">
      <c r="B370" s="165"/>
      <c r="C370" s="165"/>
    </row>
    <row r="371" spans="2:3" ht="18.75" customHeight="1">
      <c r="B371" s="165"/>
      <c r="C371" s="165"/>
    </row>
    <row r="372" spans="2:3" ht="18.75" customHeight="1">
      <c r="B372" s="165"/>
      <c r="C372" s="165"/>
    </row>
    <row r="373" spans="2:3" ht="18.75" customHeight="1">
      <c r="B373" s="165"/>
      <c r="C373" s="165"/>
    </row>
    <row r="374" spans="2:3" ht="18.75" customHeight="1">
      <c r="B374" s="165"/>
      <c r="C374" s="165"/>
    </row>
    <row r="375" spans="2:3" ht="18.75" customHeight="1">
      <c r="B375" s="165"/>
      <c r="C375" s="165"/>
    </row>
    <row r="376" spans="2:3" ht="18.75" customHeight="1">
      <c r="B376" s="165"/>
      <c r="C376" s="165"/>
    </row>
    <row r="377" spans="2:3" ht="18.75" customHeight="1">
      <c r="B377" s="165"/>
      <c r="C377" s="165"/>
    </row>
    <row r="378" spans="2:3" ht="18.75" customHeight="1">
      <c r="B378" s="165"/>
      <c r="C378" s="165"/>
    </row>
    <row r="379" spans="2:3" ht="18.75" customHeight="1">
      <c r="B379" s="165"/>
      <c r="C379" s="165"/>
    </row>
    <row r="380" spans="2:3" ht="18.75" customHeight="1">
      <c r="B380" s="165"/>
      <c r="C380" s="165"/>
    </row>
    <row r="381" spans="2:3" ht="18.75" customHeight="1">
      <c r="B381" s="165"/>
      <c r="C381" s="165"/>
    </row>
    <row r="382" spans="2:3" ht="18.75" customHeight="1">
      <c r="B382" s="165"/>
      <c r="C382" s="165"/>
    </row>
    <row r="383" spans="2:3" ht="18.75" customHeight="1">
      <c r="B383" s="165"/>
      <c r="C383" s="165"/>
    </row>
    <row r="384" spans="2:3" ht="18.75" customHeight="1">
      <c r="B384" s="165"/>
      <c r="C384" s="165"/>
    </row>
    <row r="385" spans="2:3" ht="18.75" customHeight="1">
      <c r="B385" s="165"/>
      <c r="C385" s="165"/>
    </row>
    <row r="386" spans="2:3" ht="18.75" customHeight="1">
      <c r="B386" s="165"/>
      <c r="C386" s="165"/>
    </row>
    <row r="387" spans="2:3" ht="18.75" customHeight="1">
      <c r="B387" s="165"/>
      <c r="C387" s="165"/>
    </row>
    <row r="388" spans="2:3" ht="18.75" customHeight="1">
      <c r="B388" s="165"/>
      <c r="C388" s="165"/>
    </row>
    <row r="389" spans="2:3" ht="18.75" customHeight="1">
      <c r="B389" s="165"/>
      <c r="C389" s="165"/>
    </row>
    <row r="390" spans="2:3" ht="18.75" customHeight="1">
      <c r="B390" s="165"/>
      <c r="C390" s="165"/>
    </row>
    <row r="391" spans="2:3" ht="18.75" customHeight="1">
      <c r="B391" s="165"/>
      <c r="C391" s="165"/>
    </row>
    <row r="392" spans="2:3" ht="18.75" customHeight="1">
      <c r="B392" s="165"/>
      <c r="C392" s="165"/>
    </row>
    <row r="393" spans="2:3" ht="18.75" customHeight="1">
      <c r="B393" s="165"/>
      <c r="C393" s="165"/>
    </row>
    <row r="394" spans="2:3" ht="18.75" customHeight="1">
      <c r="B394" s="165"/>
      <c r="C394" s="165"/>
    </row>
    <row r="395" spans="2:3" ht="18.75" customHeight="1">
      <c r="B395" s="165"/>
      <c r="C395" s="165"/>
    </row>
    <row r="396" spans="2:3" ht="18.75" customHeight="1">
      <c r="B396" s="165"/>
      <c r="C396" s="165"/>
    </row>
    <row r="397" spans="2:3" ht="18.75" customHeight="1">
      <c r="B397" s="165"/>
      <c r="C397" s="165"/>
    </row>
    <row r="398" spans="2:3" ht="18.75" customHeight="1">
      <c r="B398" s="165"/>
      <c r="C398" s="165"/>
    </row>
    <row r="399" spans="2:3" ht="18.75" customHeight="1">
      <c r="B399" s="165"/>
      <c r="C399" s="165"/>
    </row>
    <row r="400" spans="2:3" ht="18.75" customHeight="1">
      <c r="B400" s="165"/>
      <c r="C400" s="165"/>
    </row>
    <row r="401" spans="2:3" ht="18.75" customHeight="1">
      <c r="B401" s="165"/>
      <c r="C401" s="165"/>
    </row>
    <row r="402" spans="2:3" ht="18.75" customHeight="1">
      <c r="B402" s="165"/>
      <c r="C402" s="165"/>
    </row>
    <row r="403" spans="2:3" ht="18.75" customHeight="1">
      <c r="B403" s="165"/>
      <c r="C403" s="165"/>
    </row>
    <row r="404" spans="2:3" ht="18.75" customHeight="1">
      <c r="B404" s="165"/>
      <c r="C404" s="165"/>
    </row>
    <row r="405" spans="2:3" ht="18.75" customHeight="1">
      <c r="B405" s="165"/>
      <c r="C405" s="165"/>
    </row>
    <row r="406" spans="2:3" ht="18.75" customHeight="1">
      <c r="B406" s="165"/>
      <c r="C406" s="165"/>
    </row>
    <row r="407" spans="2:3" ht="18.75" customHeight="1">
      <c r="B407" s="165"/>
      <c r="C407" s="165"/>
    </row>
    <row r="408" spans="2:3" ht="18.75" customHeight="1">
      <c r="B408" s="165"/>
      <c r="C408" s="165"/>
    </row>
    <row r="409" spans="2:3" ht="18.75" customHeight="1">
      <c r="B409" s="165"/>
      <c r="C409" s="165"/>
    </row>
    <row r="410" spans="2:3" ht="18.75" customHeight="1">
      <c r="B410" s="165"/>
      <c r="C410" s="165"/>
    </row>
    <row r="411" spans="2:3" ht="18.75" customHeight="1">
      <c r="B411" s="165"/>
      <c r="C411" s="165"/>
    </row>
    <row r="412" spans="2:3" ht="18.75" customHeight="1">
      <c r="B412" s="165"/>
      <c r="C412" s="165"/>
    </row>
    <row r="413" spans="2:3" ht="18.75" customHeight="1">
      <c r="B413" s="165"/>
      <c r="C413" s="165"/>
    </row>
    <row r="414" spans="2:3" ht="18.75" customHeight="1">
      <c r="B414" s="165"/>
      <c r="C414" s="165"/>
    </row>
    <row r="415" spans="2:3" ht="18.75" customHeight="1">
      <c r="B415" s="165"/>
      <c r="C415" s="165"/>
    </row>
    <row r="416" spans="2:3" ht="18.75" customHeight="1">
      <c r="B416" s="165"/>
      <c r="C416" s="165"/>
    </row>
    <row r="417" spans="2:3" ht="18.75" customHeight="1">
      <c r="B417" s="165"/>
      <c r="C417" s="165"/>
    </row>
    <row r="418" spans="2:3" ht="18.75" customHeight="1">
      <c r="B418" s="165"/>
      <c r="C418" s="165"/>
    </row>
    <row r="419" spans="2:3" ht="18.75" customHeight="1">
      <c r="B419" s="165"/>
      <c r="C419" s="165"/>
    </row>
    <row r="420" spans="2:3" ht="18.75" customHeight="1">
      <c r="B420" s="165"/>
      <c r="C420" s="165"/>
    </row>
    <row r="421" spans="2:3" ht="18.75" customHeight="1">
      <c r="B421" s="165"/>
      <c r="C421" s="165"/>
    </row>
    <row r="422" spans="2:3" ht="18.75" customHeight="1">
      <c r="B422" s="165"/>
      <c r="C422" s="165"/>
    </row>
    <row r="423" spans="2:3" ht="18.75" customHeight="1">
      <c r="B423" s="165"/>
      <c r="C423" s="165"/>
    </row>
    <row r="424" spans="2:3" ht="18.75" customHeight="1">
      <c r="B424" s="165"/>
      <c r="C424" s="165"/>
    </row>
    <row r="425" spans="2:3" ht="18.75" customHeight="1">
      <c r="B425" s="165"/>
      <c r="C425" s="165"/>
    </row>
    <row r="426" spans="2:3" ht="18.75" customHeight="1">
      <c r="B426" s="165"/>
      <c r="C426" s="165"/>
    </row>
    <row r="427" spans="2:3" ht="18.75" customHeight="1">
      <c r="B427" s="165"/>
      <c r="C427" s="165"/>
    </row>
    <row r="428" spans="2:3" ht="18.75" customHeight="1">
      <c r="B428" s="165"/>
      <c r="C428" s="165"/>
    </row>
    <row r="429" spans="2:3" ht="18.75" customHeight="1">
      <c r="B429" s="165"/>
      <c r="C429" s="165"/>
    </row>
    <row r="430" spans="2:3" ht="18.75" customHeight="1">
      <c r="B430" s="165"/>
      <c r="C430" s="165"/>
    </row>
    <row r="431" spans="2:3" ht="18.75" customHeight="1">
      <c r="B431" s="165"/>
      <c r="C431" s="165"/>
    </row>
    <row r="432" spans="2:3" ht="18.75" customHeight="1">
      <c r="B432" s="165"/>
      <c r="C432" s="165"/>
    </row>
    <row r="433" spans="2:3" ht="18.75" customHeight="1">
      <c r="B433" s="165"/>
      <c r="C433" s="165"/>
    </row>
    <row r="434" spans="2:3" ht="18.75" customHeight="1">
      <c r="B434" s="165"/>
      <c r="C434" s="165"/>
    </row>
    <row r="435" spans="2:3" ht="18.75" customHeight="1">
      <c r="B435" s="165"/>
      <c r="C435" s="165"/>
    </row>
    <row r="436" spans="2:3" ht="18.75" customHeight="1">
      <c r="B436" s="165"/>
      <c r="C436" s="165"/>
    </row>
    <row r="437" spans="2:3" ht="18.75" customHeight="1">
      <c r="B437" s="165"/>
      <c r="C437" s="165"/>
    </row>
    <row r="438" spans="2:3" ht="18.75" customHeight="1">
      <c r="B438" s="165"/>
      <c r="C438" s="165"/>
    </row>
    <row r="439" spans="2:3" ht="18.75" customHeight="1">
      <c r="B439" s="165"/>
      <c r="C439" s="165"/>
    </row>
    <row r="440" spans="2:3" ht="18.75" customHeight="1">
      <c r="B440" s="165"/>
      <c r="C440" s="165"/>
    </row>
    <row r="441" spans="2:3" ht="18.75" customHeight="1">
      <c r="B441" s="165"/>
      <c r="C441" s="165"/>
    </row>
    <row r="442" spans="2:3" ht="18.75" customHeight="1">
      <c r="B442" s="165"/>
      <c r="C442" s="165"/>
    </row>
    <row r="443" spans="2:3" ht="18.75" customHeight="1">
      <c r="B443" s="165"/>
      <c r="C443" s="165"/>
    </row>
    <row r="444" spans="2:3" ht="18.75" customHeight="1">
      <c r="B444" s="165"/>
      <c r="C444" s="165"/>
    </row>
    <row r="445" spans="2:3" ht="18.75" customHeight="1">
      <c r="B445" s="165"/>
      <c r="C445" s="165"/>
    </row>
    <row r="446" spans="2:3" ht="18.75" customHeight="1">
      <c r="B446" s="165"/>
      <c r="C446" s="165"/>
    </row>
    <row r="447" spans="2:3" ht="18.75" customHeight="1">
      <c r="B447" s="165"/>
      <c r="C447" s="165"/>
    </row>
    <row r="448" spans="2:3" ht="18.75" customHeight="1">
      <c r="B448" s="165"/>
      <c r="C448" s="165"/>
    </row>
    <row r="449" spans="2:3" ht="18.75" customHeight="1">
      <c r="B449" s="165"/>
      <c r="C449" s="165"/>
    </row>
    <row r="450" spans="2:3" ht="18.75" customHeight="1">
      <c r="B450" s="165"/>
      <c r="C450" s="165"/>
    </row>
    <row r="451" spans="2:3" ht="18.75" customHeight="1">
      <c r="B451" s="165"/>
      <c r="C451" s="165"/>
    </row>
    <row r="452" spans="2:3" ht="18.75" customHeight="1">
      <c r="B452" s="165"/>
      <c r="C452" s="165"/>
    </row>
    <row r="453" spans="2:3" ht="18.75" customHeight="1">
      <c r="B453" s="165"/>
      <c r="C453" s="165"/>
    </row>
    <row r="454" spans="2:3" ht="18.75" customHeight="1">
      <c r="B454" s="165"/>
      <c r="C454" s="165"/>
    </row>
    <row r="455" spans="2:3" ht="18.75" customHeight="1">
      <c r="B455" s="165"/>
      <c r="C455" s="165"/>
    </row>
    <row r="456" spans="2:3" ht="18.75" customHeight="1">
      <c r="B456" s="165"/>
      <c r="C456" s="165"/>
    </row>
    <row r="457" spans="2:3" ht="18.75" customHeight="1">
      <c r="B457" s="165"/>
      <c r="C457" s="165"/>
    </row>
    <row r="458" spans="2:3" ht="18.75" customHeight="1">
      <c r="B458" s="165"/>
      <c r="C458" s="165"/>
    </row>
    <row r="459" spans="2:3" ht="18.75" customHeight="1">
      <c r="B459" s="165"/>
      <c r="C459" s="165"/>
    </row>
    <row r="460" spans="2:3" ht="18.75" customHeight="1">
      <c r="B460" s="165"/>
      <c r="C460" s="165"/>
    </row>
    <row r="461" spans="2:3" ht="18.75" customHeight="1">
      <c r="B461" s="165"/>
      <c r="C461" s="165"/>
    </row>
    <row r="462" spans="2:3" ht="18.75" customHeight="1">
      <c r="B462" s="165"/>
      <c r="C462" s="165"/>
    </row>
    <row r="463" spans="2:3" ht="18.75" customHeight="1">
      <c r="B463" s="165"/>
      <c r="C463" s="165"/>
    </row>
    <row r="464" spans="2:3" ht="18.75" customHeight="1">
      <c r="B464" s="165"/>
      <c r="C464" s="165"/>
    </row>
    <row r="465" spans="2:3" ht="18.75" customHeight="1">
      <c r="B465" s="165"/>
      <c r="C465" s="165"/>
    </row>
    <row r="466" spans="2:3" ht="18.75" customHeight="1">
      <c r="B466" s="165"/>
      <c r="C466" s="165"/>
    </row>
    <row r="467" spans="2:3" ht="18.75" customHeight="1">
      <c r="B467" s="165"/>
      <c r="C467" s="165"/>
    </row>
    <row r="468" spans="2:3" ht="18.75" customHeight="1">
      <c r="B468" s="165"/>
      <c r="C468" s="165"/>
    </row>
    <row r="469" spans="2:3" ht="18.75" customHeight="1">
      <c r="B469" s="165"/>
      <c r="C469" s="165"/>
    </row>
    <row r="470" spans="2:3" ht="18.75" customHeight="1">
      <c r="B470" s="165"/>
      <c r="C470" s="165"/>
    </row>
    <row r="471" spans="2:3" ht="18.75" customHeight="1">
      <c r="B471" s="165"/>
      <c r="C471" s="165"/>
    </row>
    <row r="472" spans="2:3" ht="18.75" customHeight="1">
      <c r="B472" s="165"/>
      <c r="C472" s="165"/>
    </row>
    <row r="473" spans="2:3" ht="18.75" customHeight="1">
      <c r="B473" s="165"/>
      <c r="C473" s="165"/>
    </row>
    <row r="474" spans="2:3" ht="18.75" customHeight="1">
      <c r="B474" s="165"/>
      <c r="C474" s="165"/>
    </row>
    <row r="475" spans="2:3" ht="18.75" customHeight="1">
      <c r="B475" s="165"/>
      <c r="C475" s="165"/>
    </row>
    <row r="476" spans="2:3" ht="18.75" customHeight="1">
      <c r="B476" s="165"/>
      <c r="C476" s="165"/>
    </row>
    <row r="477" spans="2:3" ht="18.75" customHeight="1">
      <c r="B477" s="165"/>
      <c r="C477" s="165"/>
    </row>
    <row r="478" spans="2:3" ht="18.75" customHeight="1">
      <c r="B478" s="165"/>
      <c r="C478" s="165"/>
    </row>
    <row r="479" spans="2:3" ht="18.75" customHeight="1">
      <c r="B479" s="165"/>
      <c r="C479" s="165"/>
    </row>
    <row r="480" spans="2:3" ht="18.75" customHeight="1">
      <c r="B480" s="165"/>
      <c r="C480" s="165"/>
    </row>
    <row r="481" spans="2:3" ht="18.75" customHeight="1">
      <c r="B481" s="165"/>
      <c r="C481" s="165"/>
    </row>
    <row r="482" spans="2:3" ht="18.75" customHeight="1">
      <c r="B482" s="165"/>
      <c r="C482" s="165"/>
    </row>
    <row r="483" spans="2:3" ht="18.75" customHeight="1">
      <c r="B483" s="165"/>
      <c r="C483" s="165"/>
    </row>
    <row r="484" spans="2:3" ht="18.75" customHeight="1">
      <c r="B484" s="165"/>
      <c r="C484" s="165"/>
    </row>
    <row r="485" spans="2:3" ht="18.75" customHeight="1">
      <c r="B485" s="165"/>
      <c r="C485" s="165"/>
    </row>
    <row r="486" spans="2:3" ht="18.75" customHeight="1">
      <c r="B486" s="165"/>
      <c r="C486" s="165"/>
    </row>
    <row r="487" spans="2:3" ht="18.75" customHeight="1">
      <c r="B487" s="165"/>
      <c r="C487" s="165"/>
    </row>
    <row r="488" spans="2:3" ht="18.75" customHeight="1">
      <c r="B488" s="165"/>
      <c r="C488" s="165"/>
    </row>
    <row r="489" spans="2:3" ht="18.75" customHeight="1">
      <c r="B489" s="165"/>
      <c r="C489" s="165"/>
    </row>
    <row r="490" spans="2:3" ht="18.75" customHeight="1">
      <c r="B490" s="165"/>
      <c r="C490" s="165"/>
    </row>
    <row r="491" spans="2:3" ht="18.75" customHeight="1">
      <c r="B491" s="165"/>
      <c r="C491" s="165"/>
    </row>
    <row r="492" spans="2:3" ht="18.75" customHeight="1">
      <c r="B492" s="165"/>
      <c r="C492" s="165"/>
    </row>
    <row r="493" spans="2:3" ht="18.75" customHeight="1">
      <c r="B493" s="165"/>
      <c r="C493" s="165"/>
    </row>
    <row r="494" spans="2:3" ht="18.75" customHeight="1">
      <c r="B494" s="165"/>
      <c r="C494" s="165"/>
    </row>
    <row r="495" spans="2:3" ht="18.75" customHeight="1">
      <c r="B495" s="165"/>
      <c r="C495" s="165"/>
    </row>
    <row r="496" spans="2:3" ht="18.75" customHeight="1">
      <c r="B496" s="165"/>
      <c r="C496" s="165"/>
    </row>
    <row r="497" spans="2:3" ht="18.75" customHeight="1">
      <c r="B497" s="165"/>
      <c r="C497" s="165"/>
    </row>
    <row r="498" spans="2:3" ht="18.75" customHeight="1">
      <c r="B498" s="165"/>
      <c r="C498" s="165"/>
    </row>
    <row r="499" spans="2:3" ht="18.75" customHeight="1">
      <c r="B499" s="165"/>
      <c r="C499" s="165"/>
    </row>
    <row r="500" spans="2:3" ht="18.75" customHeight="1">
      <c r="B500" s="165"/>
      <c r="C500" s="165"/>
    </row>
    <row r="501" spans="2:3" ht="18.75" customHeight="1">
      <c r="B501" s="165"/>
      <c r="C501" s="165"/>
    </row>
    <row r="502" spans="2:3" ht="18.75" customHeight="1">
      <c r="B502" s="165"/>
      <c r="C502" s="165"/>
    </row>
    <row r="503" spans="2:3" ht="18.75" customHeight="1">
      <c r="B503" s="165"/>
      <c r="C503" s="165"/>
    </row>
    <row r="504" spans="2:3" ht="18.75" customHeight="1">
      <c r="B504" s="165"/>
      <c r="C504" s="165"/>
    </row>
    <row r="505" spans="2:3" ht="18.75" customHeight="1">
      <c r="B505" s="165"/>
      <c r="C505" s="165"/>
    </row>
    <row r="506" spans="2:3" ht="18.75" customHeight="1">
      <c r="B506" s="165"/>
      <c r="C506" s="165"/>
    </row>
    <row r="507" spans="2:3" ht="18.75" customHeight="1">
      <c r="B507" s="165"/>
      <c r="C507" s="165"/>
    </row>
    <row r="508" spans="2:3" ht="18.75" customHeight="1">
      <c r="B508" s="165"/>
      <c r="C508" s="165"/>
    </row>
    <row r="509" spans="2:3" ht="18.75" customHeight="1">
      <c r="B509" s="165"/>
      <c r="C509" s="165"/>
    </row>
    <row r="510" spans="2:3" ht="18.75" customHeight="1">
      <c r="B510" s="165"/>
      <c r="C510" s="165"/>
    </row>
    <row r="511" spans="2:3" ht="18.75" customHeight="1">
      <c r="B511" s="165"/>
      <c r="C511" s="165"/>
    </row>
    <row r="512" spans="2:3" ht="18.75" customHeight="1">
      <c r="B512" s="165"/>
      <c r="C512" s="165"/>
    </row>
    <row r="513" spans="2:3" ht="18.75" customHeight="1">
      <c r="B513" s="165"/>
      <c r="C513" s="165"/>
    </row>
    <row r="514" spans="2:3" ht="18.75" customHeight="1">
      <c r="B514" s="165"/>
      <c r="C514" s="165"/>
    </row>
    <row r="515" spans="2:3" ht="18.75" customHeight="1">
      <c r="B515" s="165"/>
      <c r="C515" s="165"/>
    </row>
    <row r="516" spans="2:3" ht="18.75" customHeight="1">
      <c r="B516" s="165"/>
      <c r="C516" s="165"/>
    </row>
    <row r="517" spans="2:3" ht="18.75" customHeight="1">
      <c r="B517" s="165"/>
      <c r="C517" s="165"/>
    </row>
    <row r="518" spans="2:3" ht="18.75" customHeight="1">
      <c r="B518" s="165"/>
      <c r="C518" s="165"/>
    </row>
    <row r="519" spans="2:3" ht="18.75" customHeight="1">
      <c r="B519" s="165"/>
      <c r="C519" s="165"/>
    </row>
    <row r="520" spans="2:3" ht="18.75" customHeight="1">
      <c r="B520" s="165"/>
      <c r="C520" s="165"/>
    </row>
    <row r="521" spans="2:3" ht="18.75" customHeight="1">
      <c r="B521" s="165"/>
      <c r="C521" s="165"/>
    </row>
    <row r="522" spans="2:3" ht="18.75" customHeight="1">
      <c r="B522" s="165"/>
      <c r="C522" s="165"/>
    </row>
    <row r="523" spans="2:3" ht="18.75" customHeight="1">
      <c r="B523" s="165"/>
      <c r="C523" s="165"/>
    </row>
    <row r="524" spans="2:3" ht="18.75" customHeight="1">
      <c r="B524" s="165"/>
      <c r="C524" s="165"/>
    </row>
    <row r="525" spans="2:3" ht="18.75" customHeight="1">
      <c r="B525" s="165"/>
      <c r="C525" s="165"/>
    </row>
    <row r="526" spans="2:3" ht="18.75" customHeight="1">
      <c r="B526" s="165"/>
      <c r="C526" s="165"/>
    </row>
    <row r="527" spans="2:3" ht="18.75" customHeight="1">
      <c r="B527" s="165"/>
      <c r="C527" s="165"/>
    </row>
    <row r="528" spans="2:3" ht="18.75" customHeight="1">
      <c r="B528" s="165"/>
      <c r="C528" s="165"/>
    </row>
    <row r="529" spans="2:3" ht="18.75" customHeight="1">
      <c r="B529" s="165"/>
      <c r="C529" s="165"/>
    </row>
    <row r="530" spans="2:3" ht="18.75" customHeight="1">
      <c r="B530" s="165"/>
      <c r="C530" s="165"/>
    </row>
    <row r="531" spans="2:3" ht="18.75" customHeight="1">
      <c r="B531" s="165"/>
      <c r="C531" s="165"/>
    </row>
    <row r="532" spans="2:3" ht="18.75" customHeight="1">
      <c r="B532" s="165"/>
      <c r="C532" s="165"/>
    </row>
    <row r="533" spans="2:3" ht="18.75" customHeight="1">
      <c r="B533" s="165"/>
      <c r="C533" s="165"/>
    </row>
    <row r="534" spans="2:3" ht="18.75" customHeight="1">
      <c r="B534" s="165"/>
      <c r="C534" s="165"/>
    </row>
    <row r="535" spans="2:3" ht="18.75" customHeight="1">
      <c r="B535" s="165"/>
      <c r="C535" s="165"/>
    </row>
    <row r="536" spans="2:3" ht="18.75" customHeight="1">
      <c r="B536" s="165"/>
      <c r="C536" s="165"/>
    </row>
    <row r="537" spans="2:3" ht="18.75" customHeight="1">
      <c r="B537" s="165"/>
      <c r="C537" s="165"/>
    </row>
    <row r="538" spans="2:3" ht="18.75" customHeight="1">
      <c r="B538" s="165"/>
      <c r="C538" s="165"/>
    </row>
    <row r="539" spans="2:3" ht="18.75" customHeight="1">
      <c r="B539" s="165"/>
      <c r="C539" s="165"/>
    </row>
    <row r="540" spans="2:3" ht="18.75" customHeight="1">
      <c r="B540" s="165"/>
      <c r="C540" s="165"/>
    </row>
    <row r="541" spans="2:3" ht="18.75" customHeight="1">
      <c r="B541" s="165"/>
      <c r="C541" s="165"/>
    </row>
    <row r="542" spans="2:3" ht="18.75" customHeight="1">
      <c r="B542" s="165"/>
      <c r="C542" s="165"/>
    </row>
    <row r="543" spans="2:3" ht="18.75" customHeight="1">
      <c r="B543" s="165"/>
      <c r="C543" s="165"/>
    </row>
    <row r="544" spans="2:3" ht="18.75" customHeight="1">
      <c r="B544" s="165"/>
      <c r="C544" s="165"/>
    </row>
    <row r="545" spans="2:3" ht="18.75" customHeight="1">
      <c r="B545" s="165"/>
      <c r="C545" s="165"/>
    </row>
    <row r="546" spans="2:3" ht="18.75" customHeight="1">
      <c r="B546" s="165"/>
      <c r="C546" s="165"/>
    </row>
    <row r="547" spans="2:3" ht="18.75" customHeight="1">
      <c r="B547" s="165"/>
      <c r="C547" s="165"/>
    </row>
    <row r="548" spans="2:3" ht="18.75" customHeight="1">
      <c r="B548" s="165"/>
      <c r="C548" s="165"/>
    </row>
    <row r="549" spans="2:3" ht="18.75" customHeight="1">
      <c r="B549" s="165"/>
      <c r="C549" s="165"/>
    </row>
    <row r="550" spans="2:3" ht="18.75" customHeight="1">
      <c r="B550" s="165"/>
      <c r="C550" s="165"/>
    </row>
    <row r="551" spans="2:3" ht="18.75" customHeight="1">
      <c r="B551" s="165"/>
      <c r="C551" s="165"/>
    </row>
    <row r="552" spans="2:3" ht="18.75" customHeight="1">
      <c r="B552" s="165"/>
      <c r="C552" s="165"/>
    </row>
    <row r="553" spans="2:3" ht="18.75" customHeight="1">
      <c r="B553" s="165"/>
      <c r="C553" s="165"/>
    </row>
    <row r="554" spans="2:3" ht="18.75" customHeight="1">
      <c r="B554" s="165"/>
      <c r="C554" s="165"/>
    </row>
    <row r="555" spans="2:3" ht="18.75" customHeight="1">
      <c r="B555" s="165"/>
      <c r="C555" s="165"/>
    </row>
    <row r="556" spans="2:3" ht="18.75" customHeight="1">
      <c r="B556" s="165"/>
      <c r="C556" s="165"/>
    </row>
    <row r="557" spans="2:3" ht="18.75" customHeight="1">
      <c r="B557" s="165"/>
      <c r="C557" s="165"/>
    </row>
    <row r="558" spans="2:3" ht="18.75" customHeight="1">
      <c r="B558" s="165"/>
      <c r="C558" s="165"/>
    </row>
    <row r="559" spans="2:3" ht="18.75" customHeight="1">
      <c r="B559" s="165"/>
      <c r="C559" s="165"/>
    </row>
    <row r="560" spans="2:3" ht="18.75" customHeight="1">
      <c r="B560" s="165"/>
      <c r="C560" s="165"/>
    </row>
    <row r="561" spans="2:3" ht="18.75" customHeight="1">
      <c r="B561" s="165"/>
      <c r="C561" s="165"/>
    </row>
    <row r="562" spans="2:3" ht="18.75" customHeight="1">
      <c r="B562" s="165"/>
      <c r="C562" s="165"/>
    </row>
    <row r="563" spans="2:3" ht="18.75" customHeight="1">
      <c r="B563" s="165"/>
      <c r="C563" s="165"/>
    </row>
    <row r="564" spans="2:3" ht="18.75" customHeight="1">
      <c r="B564" s="165"/>
      <c r="C564" s="165"/>
    </row>
    <row r="565" spans="2:3" ht="18.75" customHeight="1">
      <c r="B565" s="165"/>
      <c r="C565" s="165"/>
    </row>
    <row r="566" spans="2:3" ht="18.75" customHeight="1">
      <c r="B566" s="165"/>
      <c r="C566" s="165"/>
    </row>
    <row r="567" spans="2:3" ht="18.75" customHeight="1">
      <c r="B567" s="165"/>
      <c r="C567" s="165"/>
    </row>
    <row r="568" spans="2:3" ht="18.75" customHeight="1">
      <c r="B568" s="165"/>
      <c r="C568" s="165"/>
    </row>
    <row r="569" spans="2:3" ht="18.75" customHeight="1">
      <c r="B569" s="165"/>
      <c r="C569" s="165"/>
    </row>
    <row r="570" spans="2:3" ht="18.75" customHeight="1">
      <c r="B570" s="165"/>
      <c r="C570" s="165"/>
    </row>
    <row r="571" spans="2:3" ht="18.75" customHeight="1">
      <c r="B571" s="165"/>
      <c r="C571" s="165"/>
    </row>
    <row r="572" spans="2:3" ht="18.75" customHeight="1">
      <c r="B572" s="165"/>
      <c r="C572" s="165"/>
    </row>
    <row r="573" spans="2:3" ht="18.75" customHeight="1">
      <c r="B573" s="165"/>
      <c r="C573" s="165"/>
    </row>
    <row r="574" spans="2:3" ht="18.75" customHeight="1">
      <c r="B574" s="165"/>
      <c r="C574" s="165"/>
    </row>
    <row r="575" spans="2:3" ht="18.75" customHeight="1">
      <c r="B575" s="165"/>
      <c r="C575" s="165"/>
    </row>
    <row r="576" spans="2:3" ht="18.75" customHeight="1">
      <c r="B576" s="165"/>
      <c r="C576" s="165"/>
    </row>
    <row r="577" spans="2:3" ht="18.75" customHeight="1">
      <c r="B577" s="165"/>
      <c r="C577" s="165"/>
    </row>
    <row r="578" spans="2:3" ht="18.75" customHeight="1">
      <c r="B578" s="165"/>
      <c r="C578" s="165"/>
    </row>
    <row r="579" spans="2:3" ht="18.75" customHeight="1">
      <c r="B579" s="165"/>
      <c r="C579" s="165"/>
    </row>
    <row r="580" spans="2:3" ht="18.75" customHeight="1">
      <c r="B580" s="165"/>
      <c r="C580" s="165"/>
    </row>
    <row r="581" spans="2:3" ht="18.75" customHeight="1">
      <c r="B581" s="165"/>
      <c r="C581" s="165"/>
    </row>
    <row r="582" spans="2:3" ht="18.75" customHeight="1">
      <c r="B582" s="165"/>
      <c r="C582" s="165"/>
    </row>
    <row r="583" spans="2:3" ht="18.75" customHeight="1">
      <c r="B583" s="165"/>
      <c r="C583" s="165"/>
    </row>
    <row r="584" spans="2:3" ht="18.75" customHeight="1">
      <c r="B584" s="165"/>
      <c r="C584" s="165"/>
    </row>
    <row r="585" spans="2:3" ht="18.75" customHeight="1">
      <c r="B585" s="165"/>
      <c r="C585" s="165"/>
    </row>
    <row r="586" spans="2:3" ht="18.75" customHeight="1">
      <c r="B586" s="165"/>
      <c r="C586" s="165"/>
    </row>
    <row r="587" spans="2:3" ht="18.75" customHeight="1">
      <c r="B587" s="165"/>
      <c r="C587" s="165"/>
    </row>
    <row r="588" spans="2:3" ht="18.75" customHeight="1">
      <c r="B588" s="165"/>
      <c r="C588" s="165"/>
    </row>
    <row r="589" spans="2:3" ht="18.75" customHeight="1">
      <c r="B589" s="165"/>
      <c r="C589" s="165"/>
    </row>
    <row r="590" spans="2:3" ht="18.75" customHeight="1">
      <c r="B590" s="165"/>
      <c r="C590" s="165"/>
    </row>
    <row r="591" spans="2:3" ht="18.75" customHeight="1">
      <c r="B591" s="165"/>
      <c r="C591" s="165"/>
    </row>
    <row r="592" spans="2:3" ht="18.75" customHeight="1">
      <c r="B592" s="165"/>
      <c r="C592" s="165"/>
    </row>
    <row r="593" spans="2:3" ht="18.75" customHeight="1">
      <c r="B593" s="165"/>
      <c r="C593" s="165"/>
    </row>
    <row r="594" spans="2:3" ht="18.75" customHeight="1">
      <c r="B594" s="165"/>
      <c r="C594" s="165"/>
    </row>
    <row r="595" spans="2:3" ht="18.75" customHeight="1">
      <c r="B595" s="165"/>
      <c r="C595" s="165"/>
    </row>
    <row r="596" spans="2:3" ht="18.75" customHeight="1">
      <c r="B596" s="165"/>
      <c r="C596" s="165"/>
    </row>
    <row r="597" spans="2:3" ht="18.75" customHeight="1">
      <c r="B597" s="165"/>
      <c r="C597" s="165"/>
    </row>
    <row r="598" spans="2:3" ht="18.75" customHeight="1">
      <c r="B598" s="165"/>
      <c r="C598" s="165"/>
    </row>
    <row r="599" spans="2:3" ht="18.75" customHeight="1">
      <c r="B599" s="165"/>
      <c r="C599" s="165"/>
    </row>
    <row r="600" spans="2:3" ht="18.75" customHeight="1">
      <c r="B600" s="165"/>
      <c r="C600" s="165"/>
    </row>
    <row r="601" spans="2:3" ht="18.75" customHeight="1">
      <c r="B601" s="165"/>
      <c r="C601" s="165"/>
    </row>
    <row r="602" spans="2:3" ht="18.75" customHeight="1">
      <c r="B602" s="165"/>
      <c r="C602" s="165"/>
    </row>
    <row r="603" spans="2:3" ht="18.75" customHeight="1">
      <c r="B603" s="165"/>
      <c r="C603" s="165"/>
    </row>
    <row r="604" spans="2:3" ht="18.75" customHeight="1">
      <c r="B604" s="165"/>
      <c r="C604" s="165"/>
    </row>
    <row r="605" spans="2:3" ht="18.75" customHeight="1">
      <c r="B605" s="165"/>
      <c r="C605" s="165"/>
    </row>
    <row r="606" spans="2:3" ht="18.75" customHeight="1">
      <c r="B606" s="165"/>
      <c r="C606" s="165"/>
    </row>
    <row r="607" spans="2:3" ht="18.75" customHeight="1">
      <c r="B607" s="165"/>
      <c r="C607" s="165"/>
    </row>
    <row r="608" spans="2:3" ht="18.75" customHeight="1">
      <c r="B608" s="165"/>
      <c r="C608" s="165"/>
    </row>
    <row r="609" spans="2:3" ht="18.75" customHeight="1">
      <c r="B609" s="165"/>
      <c r="C609" s="165"/>
    </row>
    <row r="610" spans="2:3" ht="18.75" customHeight="1">
      <c r="B610" s="165"/>
      <c r="C610" s="165"/>
    </row>
    <row r="611" spans="2:3" ht="18.75" customHeight="1">
      <c r="B611" s="165"/>
      <c r="C611" s="165"/>
    </row>
    <row r="612" spans="2:3" ht="18.75" customHeight="1">
      <c r="B612" s="165"/>
      <c r="C612" s="165"/>
    </row>
    <row r="613" spans="2:3" ht="18.75" customHeight="1">
      <c r="B613" s="165"/>
      <c r="C613" s="165"/>
    </row>
    <row r="614" spans="2:3" ht="18.75" customHeight="1">
      <c r="B614" s="165"/>
      <c r="C614" s="165"/>
    </row>
    <row r="615" spans="2:3" ht="18.75" customHeight="1">
      <c r="B615" s="165"/>
      <c r="C615" s="165"/>
    </row>
    <row r="616" spans="2:3" ht="18.75" customHeight="1">
      <c r="B616" s="165"/>
      <c r="C616" s="165"/>
    </row>
    <row r="617" spans="2:3" ht="18.75" customHeight="1">
      <c r="B617" s="165"/>
      <c r="C617" s="165"/>
    </row>
    <row r="618" spans="2:3" ht="18.75" customHeight="1">
      <c r="B618" s="165"/>
      <c r="C618" s="165"/>
    </row>
    <row r="619" spans="2:3" ht="18.75" customHeight="1">
      <c r="B619" s="165"/>
      <c r="C619" s="165"/>
    </row>
    <row r="620" spans="2:3" ht="18.75" customHeight="1">
      <c r="B620" s="165"/>
      <c r="C620" s="165"/>
    </row>
    <row r="621" spans="2:3" ht="18.75" customHeight="1">
      <c r="B621" s="165"/>
      <c r="C621" s="165"/>
    </row>
    <row r="622" spans="2:3" ht="18.75" customHeight="1">
      <c r="B622" s="165"/>
      <c r="C622" s="165"/>
    </row>
    <row r="623" spans="2:3" ht="18.75" customHeight="1">
      <c r="B623" s="165"/>
      <c r="C623" s="165"/>
    </row>
    <row r="624" spans="2:3" ht="18.75" customHeight="1">
      <c r="B624" s="165"/>
      <c r="C624" s="165"/>
    </row>
    <row r="625" spans="2:3" ht="18.75" customHeight="1">
      <c r="B625" s="165"/>
      <c r="C625" s="165"/>
    </row>
    <row r="626" spans="2:3" ht="18.75" customHeight="1">
      <c r="B626" s="165"/>
      <c r="C626" s="165"/>
    </row>
    <row r="627" spans="2:3" ht="18.75" customHeight="1">
      <c r="B627" s="165"/>
      <c r="C627" s="165"/>
    </row>
    <row r="628" spans="2:3" ht="18.75" customHeight="1">
      <c r="B628" s="165"/>
      <c r="C628" s="165"/>
    </row>
    <row r="629" spans="2:3" ht="18.75" customHeight="1">
      <c r="B629" s="165"/>
      <c r="C629" s="165"/>
    </row>
    <row r="630" spans="2:3" ht="18.75" customHeight="1">
      <c r="B630" s="165"/>
      <c r="C630" s="165"/>
    </row>
    <row r="631" spans="2:3" ht="18.75" customHeight="1">
      <c r="B631" s="165"/>
      <c r="C631" s="165"/>
    </row>
    <row r="632" spans="2:3" ht="18.75" customHeight="1">
      <c r="B632" s="165"/>
      <c r="C632" s="165"/>
    </row>
    <row r="633" spans="2:3" ht="18.75" customHeight="1">
      <c r="B633" s="165"/>
      <c r="C633" s="165"/>
    </row>
    <row r="634" spans="2:3" ht="18.75" customHeight="1">
      <c r="B634" s="165"/>
      <c r="C634" s="165"/>
    </row>
    <row r="635" spans="2:3" ht="18.75" customHeight="1">
      <c r="B635" s="165"/>
      <c r="C635" s="165"/>
    </row>
    <row r="636" spans="2:3" ht="18.75" customHeight="1">
      <c r="B636" s="165"/>
      <c r="C636" s="165"/>
    </row>
    <row r="637" spans="2:3" ht="18.75" customHeight="1">
      <c r="B637" s="165"/>
      <c r="C637" s="165"/>
    </row>
    <row r="638" spans="2:3" ht="18.75" customHeight="1">
      <c r="B638" s="165"/>
      <c r="C638" s="165"/>
    </row>
    <row r="639" spans="2:3" ht="18.75" customHeight="1">
      <c r="B639" s="165"/>
      <c r="C639" s="165"/>
    </row>
    <row r="640" spans="2:3" ht="18.75" customHeight="1">
      <c r="B640" s="165"/>
      <c r="C640" s="165"/>
    </row>
    <row r="641" spans="2:3" ht="18.75" customHeight="1">
      <c r="B641" s="165"/>
      <c r="C641" s="165"/>
    </row>
    <row r="642" spans="2:3" ht="18.75" customHeight="1">
      <c r="B642" s="165"/>
      <c r="C642" s="165"/>
    </row>
    <row r="643" spans="2:3" ht="18.75" customHeight="1">
      <c r="B643" s="165"/>
      <c r="C643" s="165"/>
    </row>
    <row r="644" spans="2:3" ht="18.75" customHeight="1">
      <c r="B644" s="165"/>
      <c r="C644" s="165"/>
    </row>
    <row r="645" spans="2:3" ht="18.75" customHeight="1">
      <c r="B645" s="165"/>
      <c r="C645" s="165"/>
    </row>
    <row r="646" spans="2:3" ht="18.75" customHeight="1">
      <c r="B646" s="165"/>
      <c r="C646" s="165"/>
    </row>
    <row r="647" spans="2:3" ht="18.75" customHeight="1">
      <c r="B647" s="165"/>
      <c r="C647" s="165"/>
    </row>
    <row r="648" spans="2:3" ht="18.75" customHeight="1">
      <c r="B648" s="165"/>
      <c r="C648" s="165"/>
    </row>
    <row r="649" spans="2:3" ht="18.75" customHeight="1">
      <c r="B649" s="165"/>
      <c r="C649" s="165"/>
    </row>
    <row r="650" spans="2:3" ht="18.75" customHeight="1">
      <c r="B650" s="165"/>
      <c r="C650" s="165"/>
    </row>
    <row r="651" spans="2:3" ht="18.75" customHeight="1">
      <c r="B651" s="165"/>
      <c r="C651" s="165"/>
    </row>
    <row r="652" spans="2:3" ht="18.75" customHeight="1">
      <c r="B652" s="165"/>
      <c r="C652" s="165"/>
    </row>
    <row r="653" spans="2:3" ht="18.75" customHeight="1">
      <c r="B653" s="165"/>
      <c r="C653" s="165"/>
    </row>
    <row r="654" spans="2:3" ht="18.75" customHeight="1">
      <c r="B654" s="165"/>
      <c r="C654" s="165"/>
    </row>
    <row r="655" spans="2:3" ht="18.75" customHeight="1">
      <c r="B655" s="165"/>
      <c r="C655" s="165"/>
    </row>
    <row r="656" spans="2:3" ht="18.75" customHeight="1">
      <c r="B656" s="165"/>
      <c r="C656" s="165"/>
    </row>
    <row r="657" spans="2:3" ht="18.75" customHeight="1">
      <c r="B657" s="165"/>
      <c r="C657" s="165"/>
    </row>
    <row r="658" spans="2:3" ht="18.75" customHeight="1">
      <c r="B658" s="165"/>
      <c r="C658" s="165"/>
    </row>
    <row r="659" spans="2:3" ht="18.75" customHeight="1">
      <c r="B659" s="165"/>
      <c r="C659" s="165"/>
    </row>
    <row r="660" spans="2:3" ht="18.75" customHeight="1">
      <c r="B660" s="165"/>
      <c r="C660" s="165"/>
    </row>
    <row r="661" spans="2:3" ht="18.75" customHeight="1">
      <c r="B661" s="165"/>
      <c r="C661" s="165"/>
    </row>
    <row r="662" spans="2:3" ht="18.75" customHeight="1">
      <c r="B662" s="165"/>
      <c r="C662" s="165"/>
    </row>
    <row r="663" spans="2:3" ht="18.75" customHeight="1">
      <c r="B663" s="165"/>
      <c r="C663" s="165"/>
    </row>
    <row r="664" spans="2:3" ht="18.75" customHeight="1">
      <c r="B664" s="165"/>
      <c r="C664" s="165"/>
    </row>
    <row r="665" spans="2:3" ht="18.75" customHeight="1">
      <c r="B665" s="165"/>
      <c r="C665" s="165"/>
    </row>
    <row r="666" spans="2:3" ht="18.75" customHeight="1">
      <c r="B666" s="165"/>
      <c r="C666" s="165"/>
    </row>
    <row r="667" spans="2:3" ht="18.75" customHeight="1">
      <c r="B667" s="165"/>
      <c r="C667" s="165"/>
    </row>
    <row r="668" spans="2:3" ht="18.75" customHeight="1">
      <c r="B668" s="165"/>
      <c r="C668" s="165"/>
    </row>
    <row r="669" spans="2:3" ht="18.75" customHeight="1">
      <c r="B669" s="165"/>
      <c r="C669" s="165"/>
    </row>
    <row r="670" spans="2:3" ht="18.75" customHeight="1">
      <c r="B670" s="165"/>
      <c r="C670" s="165"/>
    </row>
    <row r="671" spans="2:3" ht="18.75" customHeight="1">
      <c r="B671" s="165"/>
      <c r="C671" s="165"/>
    </row>
    <row r="672" spans="2:3" ht="18.75" customHeight="1">
      <c r="B672" s="165"/>
      <c r="C672" s="165"/>
    </row>
    <row r="673" spans="2:3" ht="18.75" customHeight="1">
      <c r="B673" s="165"/>
      <c r="C673" s="165"/>
    </row>
    <row r="674" spans="2:3" ht="18.75" customHeight="1">
      <c r="B674" s="165"/>
      <c r="C674" s="165"/>
    </row>
    <row r="675" spans="2:3" ht="18.75" customHeight="1">
      <c r="B675" s="165"/>
      <c r="C675" s="165"/>
    </row>
    <row r="676" spans="2:3" ht="18.75" customHeight="1">
      <c r="B676" s="165"/>
      <c r="C676" s="165"/>
    </row>
    <row r="677" spans="2:3" ht="18.75" customHeight="1">
      <c r="B677" s="165"/>
      <c r="C677" s="165"/>
    </row>
    <row r="678" spans="2:3" ht="18.75" customHeight="1">
      <c r="B678" s="165"/>
      <c r="C678" s="165"/>
    </row>
    <row r="679" spans="2:3" ht="18.75" customHeight="1">
      <c r="B679" s="165"/>
      <c r="C679" s="165"/>
    </row>
    <row r="680" spans="2:3" ht="18.75" customHeight="1">
      <c r="B680" s="165"/>
      <c r="C680" s="165"/>
    </row>
    <row r="681" spans="2:3" ht="18.75" customHeight="1">
      <c r="B681" s="165"/>
      <c r="C681" s="165"/>
    </row>
    <row r="682" spans="2:3" ht="18.75" customHeight="1">
      <c r="B682" s="165"/>
      <c r="C682" s="165"/>
    </row>
    <row r="683" spans="2:3" ht="18.75" customHeight="1">
      <c r="B683" s="165"/>
      <c r="C683" s="165"/>
    </row>
    <row r="684" spans="2:3" ht="18.75" customHeight="1">
      <c r="B684" s="165"/>
      <c r="C684" s="165"/>
    </row>
    <row r="685" spans="2:3" ht="18.75" customHeight="1">
      <c r="B685" s="165"/>
      <c r="C685" s="165"/>
    </row>
    <row r="686" spans="2:3" ht="18.75" customHeight="1">
      <c r="B686" s="165"/>
      <c r="C686" s="165"/>
    </row>
    <row r="687" spans="2:3" ht="18.75" customHeight="1">
      <c r="B687" s="165"/>
      <c r="C687" s="165"/>
    </row>
    <row r="688" spans="2:3" ht="18.75" customHeight="1">
      <c r="B688" s="165"/>
      <c r="C688" s="165"/>
    </row>
    <row r="689" spans="2:3" ht="18.75" customHeight="1">
      <c r="B689" s="165"/>
      <c r="C689" s="165"/>
    </row>
    <row r="690" spans="2:3" ht="18.75" customHeight="1">
      <c r="B690" s="165"/>
      <c r="C690" s="165"/>
    </row>
    <row r="691" spans="2:3" ht="18.75" customHeight="1">
      <c r="B691" s="165"/>
      <c r="C691" s="165"/>
    </row>
    <row r="692" spans="2:3" ht="18.75" customHeight="1">
      <c r="B692" s="165"/>
      <c r="C692" s="165"/>
    </row>
    <row r="693" spans="2:3" ht="18.75" customHeight="1">
      <c r="B693" s="165"/>
      <c r="C693" s="165"/>
    </row>
    <row r="694" spans="2:3" ht="18.75" customHeight="1">
      <c r="B694" s="165"/>
      <c r="C694" s="165"/>
    </row>
    <row r="695" spans="2:3" ht="18.75" customHeight="1">
      <c r="B695" s="165"/>
      <c r="C695" s="165"/>
    </row>
    <row r="696" spans="2:3" ht="18.75" customHeight="1">
      <c r="B696" s="165"/>
      <c r="C696" s="165"/>
    </row>
    <row r="697" spans="2:3" ht="18.75" customHeight="1">
      <c r="B697" s="165"/>
      <c r="C697" s="165"/>
    </row>
    <row r="698" spans="2:3" ht="18.75" customHeight="1">
      <c r="B698" s="165"/>
      <c r="C698" s="165"/>
    </row>
    <row r="699" spans="2:3" ht="18.75" customHeight="1">
      <c r="B699" s="165"/>
      <c r="C699" s="165"/>
    </row>
    <row r="700" spans="2:3" ht="18.75" customHeight="1">
      <c r="B700" s="165"/>
      <c r="C700" s="165"/>
    </row>
    <row r="701" spans="2:3" ht="18.75" customHeight="1">
      <c r="B701" s="165"/>
      <c r="C701" s="165"/>
    </row>
    <row r="702" spans="2:3" ht="18.75" customHeight="1">
      <c r="B702" s="165"/>
      <c r="C702" s="165"/>
    </row>
    <row r="703" spans="2:3" ht="18.75" customHeight="1">
      <c r="B703" s="165"/>
      <c r="C703" s="165"/>
    </row>
    <row r="704" spans="2:3" ht="18.75" customHeight="1">
      <c r="B704" s="165"/>
      <c r="C704" s="165"/>
    </row>
    <row r="705" spans="2:3" ht="18.75" customHeight="1">
      <c r="B705" s="165"/>
      <c r="C705" s="165"/>
    </row>
    <row r="706" spans="2:3" ht="18.75" customHeight="1">
      <c r="B706" s="165"/>
      <c r="C706" s="165"/>
    </row>
    <row r="707" spans="2:3" ht="18.75" customHeight="1">
      <c r="B707" s="165"/>
      <c r="C707" s="165"/>
    </row>
    <row r="708" spans="2:3" ht="18.75" customHeight="1">
      <c r="B708" s="165"/>
      <c r="C708" s="165"/>
    </row>
    <row r="709" spans="2:3" ht="18.75" customHeight="1">
      <c r="B709" s="165"/>
      <c r="C709" s="165"/>
    </row>
    <row r="710" spans="2:3" ht="18.75" customHeight="1">
      <c r="B710" s="165"/>
      <c r="C710" s="165"/>
    </row>
    <row r="711" spans="2:3" ht="18.75" customHeight="1">
      <c r="B711" s="165"/>
      <c r="C711" s="165"/>
    </row>
    <row r="712" spans="2:3" ht="18.75" customHeight="1">
      <c r="B712" s="165"/>
      <c r="C712" s="165"/>
    </row>
    <row r="713" spans="2:3" ht="18.75" customHeight="1">
      <c r="B713" s="165"/>
      <c r="C713" s="165"/>
    </row>
    <row r="714" spans="2:3" ht="18.75" customHeight="1">
      <c r="B714" s="165"/>
      <c r="C714" s="165"/>
    </row>
    <row r="715" spans="2:3" ht="18.75" customHeight="1">
      <c r="B715" s="165"/>
      <c r="C715" s="165"/>
    </row>
    <row r="716" spans="2:3" ht="18.75" customHeight="1">
      <c r="B716" s="165"/>
      <c r="C716" s="165"/>
    </row>
    <row r="717" spans="2:3" ht="18.75" customHeight="1">
      <c r="B717" s="165"/>
      <c r="C717" s="165"/>
    </row>
    <row r="718" spans="2:3" ht="18.75" customHeight="1">
      <c r="B718" s="165"/>
      <c r="C718" s="165"/>
    </row>
    <row r="719" spans="2:3" ht="18.75" customHeight="1">
      <c r="B719" s="165"/>
      <c r="C719" s="165"/>
    </row>
    <row r="720" spans="2:3" ht="18.75" customHeight="1">
      <c r="B720" s="165"/>
      <c r="C720" s="165"/>
    </row>
    <row r="721" spans="2:3" ht="18.75" customHeight="1">
      <c r="B721" s="165"/>
      <c r="C721" s="165"/>
    </row>
    <row r="722" spans="2:3" ht="18.75" customHeight="1">
      <c r="B722" s="165"/>
      <c r="C722" s="165"/>
    </row>
    <row r="723" spans="2:3" ht="18.75" customHeight="1">
      <c r="B723" s="165"/>
      <c r="C723" s="165"/>
    </row>
    <row r="724" spans="2:3" ht="18.75" customHeight="1">
      <c r="B724" s="165"/>
      <c r="C724" s="165"/>
    </row>
    <row r="725" spans="2:3" ht="18.75" customHeight="1">
      <c r="B725" s="165"/>
      <c r="C725" s="165"/>
    </row>
    <row r="726" spans="2:3" ht="18.75" customHeight="1">
      <c r="B726" s="165"/>
      <c r="C726" s="165"/>
    </row>
    <row r="727" spans="2:3" ht="18.75" customHeight="1">
      <c r="B727" s="165"/>
      <c r="C727" s="165"/>
    </row>
    <row r="728" spans="2:3" ht="18.75" customHeight="1">
      <c r="B728" s="165"/>
      <c r="C728" s="165"/>
    </row>
    <row r="729" spans="2:3" ht="18.75" customHeight="1">
      <c r="B729" s="165"/>
      <c r="C729" s="165"/>
    </row>
    <row r="730" spans="2:3" ht="18.75" customHeight="1">
      <c r="B730" s="165"/>
      <c r="C730" s="165"/>
    </row>
    <row r="731" spans="2:3" ht="18.75" customHeight="1">
      <c r="B731" s="165"/>
      <c r="C731" s="165"/>
    </row>
    <row r="732" spans="2:3" ht="18.75" customHeight="1">
      <c r="B732" s="165"/>
      <c r="C732" s="165"/>
    </row>
    <row r="733" spans="2:3" ht="18.75" customHeight="1">
      <c r="B733" s="165"/>
      <c r="C733" s="165"/>
    </row>
    <row r="734" spans="2:3" ht="18.75" customHeight="1">
      <c r="B734" s="165"/>
      <c r="C734" s="165"/>
    </row>
    <row r="735" spans="2:3" ht="18.75" customHeight="1">
      <c r="B735" s="165"/>
      <c r="C735" s="165"/>
    </row>
    <row r="736" spans="2:3" ht="18.75" customHeight="1">
      <c r="B736" s="165"/>
      <c r="C736" s="165"/>
    </row>
    <row r="737" spans="2:3" ht="18.75" customHeight="1">
      <c r="B737" s="165"/>
      <c r="C737" s="165"/>
    </row>
    <row r="738" spans="2:3" ht="18.75" customHeight="1">
      <c r="B738" s="165"/>
      <c r="C738" s="165"/>
    </row>
    <row r="739" spans="2:3" ht="18.75" customHeight="1">
      <c r="B739" s="165"/>
      <c r="C739" s="165"/>
    </row>
    <row r="740" spans="2:3" ht="18.75" customHeight="1">
      <c r="B740" s="165"/>
      <c r="C740" s="165"/>
    </row>
    <row r="741" spans="2:3" ht="18.75" customHeight="1">
      <c r="B741" s="165"/>
      <c r="C741" s="165"/>
    </row>
    <row r="742" spans="2:3" ht="18.75" customHeight="1">
      <c r="B742" s="165"/>
      <c r="C742" s="165"/>
    </row>
    <row r="743" spans="2:3" ht="18.75" customHeight="1">
      <c r="B743" s="165"/>
      <c r="C743" s="165"/>
    </row>
    <row r="744" spans="2:3" ht="18.75" customHeight="1">
      <c r="B744" s="165"/>
      <c r="C744" s="165"/>
    </row>
    <row r="745" spans="2:3" ht="18.75" customHeight="1">
      <c r="B745" s="165"/>
      <c r="C745" s="165"/>
    </row>
    <row r="746" spans="2:3" ht="18.75" customHeight="1">
      <c r="B746" s="165"/>
      <c r="C746" s="165"/>
    </row>
    <row r="747" spans="2:3" ht="18.75" customHeight="1">
      <c r="B747" s="165"/>
      <c r="C747" s="165"/>
    </row>
    <row r="748" spans="2:3" ht="18.75" customHeight="1">
      <c r="B748" s="165"/>
      <c r="C748" s="165"/>
    </row>
    <row r="749" spans="2:3" ht="18.75" customHeight="1">
      <c r="B749" s="165"/>
      <c r="C749" s="165"/>
    </row>
    <row r="750" spans="2:3" ht="18.75" customHeight="1">
      <c r="B750" s="165"/>
      <c r="C750" s="165"/>
    </row>
    <row r="751" spans="2:3" ht="18.75" customHeight="1">
      <c r="B751" s="165"/>
      <c r="C751" s="165"/>
    </row>
    <row r="752" spans="2:3" ht="18.75" customHeight="1">
      <c r="B752" s="165"/>
      <c r="C752" s="165"/>
    </row>
    <row r="753" spans="2:3" ht="18.75" customHeight="1">
      <c r="B753" s="165"/>
      <c r="C753" s="165"/>
    </row>
    <row r="754" spans="2:3" ht="18.75" customHeight="1">
      <c r="B754" s="165"/>
      <c r="C754" s="165"/>
    </row>
    <row r="755" spans="2:3" ht="18.75" customHeight="1">
      <c r="B755" s="165"/>
      <c r="C755" s="165"/>
    </row>
    <row r="756" spans="2:3" ht="18.75" customHeight="1">
      <c r="B756" s="165"/>
      <c r="C756" s="165"/>
    </row>
    <row r="757" spans="2:3" ht="18.75" customHeight="1">
      <c r="B757" s="165"/>
      <c r="C757" s="165"/>
    </row>
    <row r="758" spans="2:3" ht="18.75" customHeight="1">
      <c r="B758" s="165"/>
      <c r="C758" s="165"/>
    </row>
    <row r="759" spans="2:3" ht="18.75" customHeight="1">
      <c r="B759" s="165"/>
      <c r="C759" s="165"/>
    </row>
    <row r="760" spans="2:3" ht="18.75" customHeight="1">
      <c r="B760" s="165"/>
      <c r="C760" s="165"/>
    </row>
    <row r="761" spans="2:3" ht="18.75" customHeight="1">
      <c r="B761" s="165"/>
      <c r="C761" s="165"/>
    </row>
    <row r="762" spans="2:3" ht="18.75" customHeight="1">
      <c r="B762" s="165"/>
      <c r="C762" s="165"/>
    </row>
    <row r="763" spans="2:3" ht="18.75" customHeight="1">
      <c r="B763" s="165"/>
      <c r="C763" s="165"/>
    </row>
    <row r="764" spans="2:3" ht="18.75" customHeight="1">
      <c r="B764" s="165"/>
      <c r="C764" s="165"/>
    </row>
    <row r="765" spans="2:3" ht="18.75" customHeight="1">
      <c r="B765" s="165"/>
      <c r="C765" s="165"/>
    </row>
    <row r="766" spans="2:3" ht="18.75" customHeight="1">
      <c r="B766" s="165"/>
      <c r="C766" s="165"/>
    </row>
    <row r="767" spans="2:3" ht="18.75" customHeight="1">
      <c r="B767" s="165"/>
      <c r="C767" s="165"/>
    </row>
    <row r="768" spans="2:3" ht="18.75" customHeight="1">
      <c r="B768" s="165"/>
      <c r="C768" s="165"/>
    </row>
    <row r="769" spans="2:3" ht="18.75" customHeight="1">
      <c r="B769" s="165"/>
      <c r="C769" s="165"/>
    </row>
    <row r="770" spans="2:3" ht="18.75" customHeight="1">
      <c r="B770" s="165"/>
      <c r="C770" s="165"/>
    </row>
    <row r="771" spans="2:3" ht="18.75" customHeight="1">
      <c r="B771" s="165"/>
      <c r="C771" s="165"/>
    </row>
    <row r="772" spans="2:3" ht="18.75" customHeight="1">
      <c r="B772" s="165"/>
      <c r="C772" s="165"/>
    </row>
    <row r="773" spans="2:3" ht="18.75" customHeight="1">
      <c r="B773" s="165"/>
      <c r="C773" s="165"/>
    </row>
    <row r="774" spans="2:3" ht="18.75" customHeight="1">
      <c r="B774" s="165"/>
      <c r="C774" s="165"/>
    </row>
    <row r="775" spans="2:3" ht="18.75" customHeight="1">
      <c r="B775" s="165"/>
      <c r="C775" s="165"/>
    </row>
    <row r="776" spans="2:3" ht="18.75" customHeight="1">
      <c r="B776" s="165"/>
      <c r="C776" s="165"/>
    </row>
    <row r="777" spans="2:3" ht="18.75" customHeight="1">
      <c r="B777" s="165"/>
      <c r="C777" s="165"/>
    </row>
    <row r="778" spans="2:3" ht="18.75" customHeight="1">
      <c r="B778" s="165"/>
      <c r="C778" s="165"/>
    </row>
    <row r="779" spans="2:3" ht="18.75" customHeight="1">
      <c r="B779" s="165"/>
      <c r="C779" s="165"/>
    </row>
    <row r="780" spans="2:3" ht="18.75" customHeight="1">
      <c r="B780" s="165"/>
      <c r="C780" s="165"/>
    </row>
    <row r="781" spans="2:3" ht="18.75" customHeight="1">
      <c r="B781" s="165"/>
      <c r="C781" s="165"/>
    </row>
    <row r="782" spans="2:3" ht="18.75" customHeight="1">
      <c r="B782" s="165"/>
      <c r="C782" s="165"/>
    </row>
    <row r="783" spans="2:3" ht="18.75" customHeight="1">
      <c r="B783" s="165"/>
      <c r="C783" s="165"/>
    </row>
    <row r="784" spans="2:3" ht="18.75" customHeight="1">
      <c r="B784" s="165"/>
      <c r="C784" s="165"/>
    </row>
    <row r="785" spans="2:3" ht="18.75" customHeight="1">
      <c r="B785" s="165"/>
      <c r="C785" s="165"/>
    </row>
    <row r="786" spans="2:3" ht="18.75" customHeight="1">
      <c r="B786" s="165"/>
      <c r="C786" s="165"/>
    </row>
    <row r="787" spans="2:3" ht="18.75" customHeight="1">
      <c r="B787" s="165"/>
      <c r="C787" s="165"/>
    </row>
    <row r="788" spans="2:3" ht="18.75" customHeight="1">
      <c r="B788" s="165"/>
      <c r="C788" s="165"/>
    </row>
    <row r="789" spans="2:3" ht="18.75" customHeight="1">
      <c r="B789" s="165"/>
      <c r="C789" s="165"/>
    </row>
    <row r="790" spans="2:3" ht="18.75" customHeight="1">
      <c r="B790" s="165"/>
      <c r="C790" s="165"/>
    </row>
    <row r="791" spans="2:3" ht="18.75" customHeight="1">
      <c r="B791" s="165"/>
      <c r="C791" s="165"/>
    </row>
    <row r="792" spans="2:3" ht="18.75" customHeight="1">
      <c r="B792" s="165"/>
      <c r="C792" s="165"/>
    </row>
    <row r="793" spans="2:3" ht="18.75" customHeight="1">
      <c r="B793" s="165"/>
      <c r="C793" s="165"/>
    </row>
    <row r="794" spans="2:3" ht="18.75" customHeight="1">
      <c r="B794" s="165"/>
      <c r="C794" s="165"/>
    </row>
    <row r="795" spans="2:3" ht="18.75" customHeight="1">
      <c r="B795" s="165"/>
      <c r="C795" s="165"/>
    </row>
    <row r="796" spans="2:3" ht="18.75" customHeight="1">
      <c r="B796" s="165"/>
      <c r="C796" s="165"/>
    </row>
    <row r="797" spans="2:3" ht="18.75" customHeight="1">
      <c r="B797" s="165"/>
      <c r="C797" s="165"/>
    </row>
    <row r="798" spans="2:3" ht="18.75" customHeight="1">
      <c r="B798" s="165"/>
      <c r="C798" s="165"/>
    </row>
    <row r="799" spans="2:3" ht="18.75" customHeight="1">
      <c r="B799" s="165"/>
      <c r="C799" s="165"/>
    </row>
    <row r="800" spans="2:3" ht="18.75" customHeight="1">
      <c r="B800" s="165"/>
      <c r="C800" s="165"/>
    </row>
    <row r="801" spans="2:3" ht="18.75" customHeight="1">
      <c r="B801" s="165"/>
      <c r="C801" s="165"/>
    </row>
    <row r="802" spans="2:3" ht="18.75" customHeight="1">
      <c r="B802" s="165"/>
      <c r="C802" s="165"/>
    </row>
    <row r="803" spans="2:3" ht="18.75" customHeight="1">
      <c r="B803" s="165"/>
      <c r="C803" s="165"/>
    </row>
    <row r="804" spans="2:3" ht="18.75" customHeight="1">
      <c r="B804" s="165"/>
      <c r="C804" s="165"/>
    </row>
    <row r="805" spans="2:3" ht="18.75" customHeight="1">
      <c r="B805" s="165"/>
      <c r="C805" s="165"/>
    </row>
    <row r="806" spans="2:3" ht="18.75" customHeight="1">
      <c r="B806" s="165"/>
      <c r="C806" s="165"/>
    </row>
    <row r="807" spans="2:3" ht="18.75" customHeight="1">
      <c r="B807" s="165"/>
      <c r="C807" s="165"/>
    </row>
    <row r="808" spans="2:3" ht="18.75" customHeight="1">
      <c r="B808" s="165"/>
      <c r="C808" s="165"/>
    </row>
    <row r="809" spans="2:3" ht="18.75" customHeight="1">
      <c r="B809" s="165"/>
      <c r="C809" s="165"/>
    </row>
    <row r="810" spans="2:3" ht="18.75" customHeight="1">
      <c r="B810" s="165"/>
      <c r="C810" s="165"/>
    </row>
    <row r="811" spans="2:3" ht="18.75" customHeight="1">
      <c r="B811" s="165"/>
      <c r="C811" s="165"/>
    </row>
    <row r="812" spans="2:3" ht="18.75" customHeight="1">
      <c r="B812" s="165"/>
      <c r="C812" s="165"/>
    </row>
    <row r="813" spans="2:3" ht="18.75" customHeight="1">
      <c r="B813" s="165"/>
      <c r="C813" s="165"/>
    </row>
    <row r="814" spans="2:3" ht="18.75" customHeight="1">
      <c r="B814" s="165"/>
      <c r="C814" s="165"/>
    </row>
    <row r="815" spans="2:3" ht="18.75" customHeight="1">
      <c r="B815" s="165"/>
      <c r="C815" s="165"/>
    </row>
    <row r="816" spans="2:3" ht="18.75" customHeight="1">
      <c r="B816" s="165"/>
      <c r="C816" s="165"/>
    </row>
    <row r="817" spans="2:3" ht="18.75" customHeight="1">
      <c r="B817" s="165"/>
      <c r="C817" s="165"/>
    </row>
    <row r="818" spans="2:3" ht="18.75" customHeight="1">
      <c r="B818" s="165"/>
      <c r="C818" s="165"/>
    </row>
    <row r="819" spans="2:3" ht="18.75" customHeight="1">
      <c r="B819" s="165"/>
      <c r="C819" s="165"/>
    </row>
    <row r="820" spans="2:3" ht="18.75" customHeight="1">
      <c r="B820" s="165"/>
      <c r="C820" s="165"/>
    </row>
    <row r="821" spans="2:3" ht="18.75" customHeight="1">
      <c r="B821" s="165"/>
      <c r="C821" s="165"/>
    </row>
    <row r="822" spans="2:3" ht="18.75" customHeight="1">
      <c r="B822" s="165"/>
      <c r="C822" s="165"/>
    </row>
    <row r="823" spans="2:3" ht="18.75" customHeight="1">
      <c r="B823" s="165"/>
      <c r="C823" s="165"/>
    </row>
    <row r="824" spans="2:3" ht="18.75" customHeight="1">
      <c r="B824" s="165"/>
      <c r="C824" s="165"/>
    </row>
    <row r="825" spans="2:3" ht="18.75" customHeight="1">
      <c r="B825" s="165"/>
      <c r="C825" s="165"/>
    </row>
    <row r="826" spans="2:3" ht="18.75" customHeight="1">
      <c r="B826" s="165"/>
      <c r="C826" s="165"/>
    </row>
    <row r="827" spans="2:3" ht="18.75" customHeight="1">
      <c r="B827" s="165"/>
      <c r="C827" s="165"/>
    </row>
    <row r="828" spans="2:3" ht="18.75" customHeight="1">
      <c r="B828" s="165"/>
      <c r="C828" s="165"/>
    </row>
    <row r="829" spans="2:3" ht="18.75" customHeight="1">
      <c r="B829" s="165"/>
      <c r="C829" s="165"/>
    </row>
    <row r="830" spans="2:3" ht="18.75" customHeight="1">
      <c r="B830" s="165"/>
      <c r="C830" s="165"/>
    </row>
    <row r="831" spans="2:3" ht="18.75" customHeight="1">
      <c r="B831" s="165"/>
      <c r="C831" s="165"/>
    </row>
    <row r="832" spans="2:3" ht="18.75" customHeight="1">
      <c r="B832" s="165"/>
      <c r="C832" s="165"/>
    </row>
    <row r="833" spans="2:3" ht="18.75" customHeight="1">
      <c r="B833" s="165"/>
      <c r="C833" s="165"/>
    </row>
    <row r="834" spans="2:3" ht="18.75" customHeight="1">
      <c r="B834" s="165"/>
      <c r="C834" s="165"/>
    </row>
    <row r="835" spans="2:3" ht="18.75" customHeight="1">
      <c r="B835" s="165"/>
      <c r="C835" s="165"/>
    </row>
    <row r="836" spans="2:3" ht="18.75" customHeight="1">
      <c r="B836" s="165"/>
      <c r="C836" s="165"/>
    </row>
    <row r="837" spans="2:3" ht="18.75" customHeight="1">
      <c r="B837" s="165"/>
      <c r="C837" s="165"/>
    </row>
    <row r="838" spans="2:3" ht="18.75" customHeight="1">
      <c r="B838" s="165"/>
      <c r="C838" s="165"/>
    </row>
    <row r="839" spans="2:3" ht="18.75" customHeight="1">
      <c r="B839" s="165"/>
      <c r="C839" s="165"/>
    </row>
    <row r="840" spans="2:3" ht="18.75" customHeight="1">
      <c r="B840" s="165"/>
      <c r="C840" s="165"/>
    </row>
    <row r="841" spans="2:3" ht="18.75" customHeight="1">
      <c r="B841" s="165"/>
      <c r="C841" s="165"/>
    </row>
    <row r="842" spans="2:3" ht="18.75" customHeight="1">
      <c r="B842" s="165"/>
      <c r="C842" s="165"/>
    </row>
    <row r="843" spans="2:3" ht="18.75" customHeight="1">
      <c r="B843" s="165"/>
      <c r="C843" s="165"/>
    </row>
    <row r="844" spans="2:3" ht="18.75" customHeight="1">
      <c r="B844" s="165"/>
      <c r="C844" s="165"/>
    </row>
    <row r="845" spans="2:3" ht="18.75" customHeight="1">
      <c r="B845" s="165"/>
      <c r="C845" s="165"/>
    </row>
    <row r="846" spans="2:3" ht="18.75" customHeight="1">
      <c r="B846" s="165"/>
      <c r="C846" s="165"/>
    </row>
    <row r="847" spans="2:3" ht="18.75" customHeight="1">
      <c r="B847" s="165"/>
      <c r="C847" s="165"/>
    </row>
    <row r="848" spans="2:3" ht="18.75" customHeight="1">
      <c r="B848" s="165"/>
      <c r="C848" s="165"/>
    </row>
    <row r="849" spans="2:3" ht="18.75" customHeight="1">
      <c r="B849" s="165"/>
      <c r="C849" s="165"/>
    </row>
    <row r="850" spans="2:3" ht="18.75" customHeight="1">
      <c r="B850" s="165"/>
      <c r="C850" s="165"/>
    </row>
    <row r="851" spans="2:3" ht="18.75" customHeight="1">
      <c r="B851" s="165"/>
      <c r="C851" s="165"/>
    </row>
    <row r="852" spans="2:3" ht="18.75" customHeight="1">
      <c r="B852" s="165"/>
      <c r="C852" s="165"/>
    </row>
    <row r="853" spans="2:3" ht="18.75" customHeight="1">
      <c r="B853" s="165"/>
      <c r="C853" s="165"/>
    </row>
    <row r="854" spans="2:3" ht="18.75" customHeight="1">
      <c r="B854" s="165"/>
      <c r="C854" s="165"/>
    </row>
    <row r="855" spans="2:3" ht="18.75" customHeight="1">
      <c r="B855" s="165"/>
      <c r="C855" s="165"/>
    </row>
    <row r="856" spans="2:3" ht="18.75" customHeight="1">
      <c r="B856" s="165"/>
      <c r="C856" s="165"/>
    </row>
    <row r="857" spans="2:3" ht="18.75" customHeight="1">
      <c r="B857" s="165"/>
      <c r="C857" s="165"/>
    </row>
    <row r="858" spans="2:3" ht="18.75" customHeight="1">
      <c r="B858" s="165"/>
      <c r="C858" s="165"/>
    </row>
    <row r="859" spans="2:3" ht="18.75" customHeight="1">
      <c r="B859" s="165"/>
      <c r="C859" s="165"/>
    </row>
    <row r="860" spans="2:3" ht="18.75" customHeight="1">
      <c r="B860" s="165"/>
      <c r="C860" s="165"/>
    </row>
    <row r="861" spans="2:3" ht="18.75" customHeight="1">
      <c r="B861" s="165"/>
      <c r="C861" s="165"/>
    </row>
    <row r="862" spans="2:3" ht="18.75" customHeight="1">
      <c r="B862" s="165"/>
      <c r="C862" s="165"/>
    </row>
    <row r="863" spans="2:3" ht="18.75" customHeight="1">
      <c r="B863" s="165"/>
      <c r="C863" s="165"/>
    </row>
    <row r="864" spans="2:3" ht="18.75" customHeight="1">
      <c r="B864" s="165"/>
      <c r="C864" s="165"/>
    </row>
    <row r="865" spans="2:3" ht="18.75" customHeight="1">
      <c r="B865" s="165"/>
      <c r="C865" s="165"/>
    </row>
    <row r="866" spans="2:3" ht="18.75" customHeight="1">
      <c r="B866" s="165"/>
      <c r="C866" s="165"/>
    </row>
    <row r="867" spans="2:3" ht="18.75" customHeight="1">
      <c r="B867" s="165"/>
      <c r="C867" s="165"/>
    </row>
    <row r="868" spans="2:3" ht="18.75" customHeight="1">
      <c r="B868" s="165"/>
      <c r="C868" s="165"/>
    </row>
    <row r="869" spans="2:3" ht="18.75" customHeight="1">
      <c r="B869" s="165"/>
      <c r="C869" s="165"/>
    </row>
    <row r="870" spans="2:3" ht="18.75" customHeight="1">
      <c r="B870" s="165"/>
      <c r="C870" s="165"/>
    </row>
    <row r="871" spans="2:3" ht="18.75" customHeight="1">
      <c r="B871" s="165"/>
      <c r="C871" s="165"/>
    </row>
    <row r="872" spans="2:3" ht="18.75" customHeight="1">
      <c r="B872" s="165"/>
      <c r="C872" s="165"/>
    </row>
    <row r="873" spans="2:3" ht="18.75" customHeight="1">
      <c r="B873" s="165"/>
      <c r="C873" s="165"/>
    </row>
    <row r="874" spans="2:3" ht="18.75" customHeight="1">
      <c r="B874" s="165"/>
      <c r="C874" s="165"/>
    </row>
    <row r="875" spans="2:3" ht="18.75" customHeight="1">
      <c r="B875" s="165"/>
      <c r="C875" s="165"/>
    </row>
    <row r="876" spans="2:3" ht="18.75" customHeight="1">
      <c r="B876" s="165"/>
      <c r="C876" s="165"/>
    </row>
    <row r="877" spans="2:3" ht="18.75" customHeight="1">
      <c r="B877" s="165"/>
      <c r="C877" s="165"/>
    </row>
    <row r="878" spans="2:3" ht="18.75" customHeight="1">
      <c r="B878" s="165"/>
      <c r="C878" s="165"/>
    </row>
    <row r="879" spans="2:3" ht="18.75" customHeight="1">
      <c r="B879" s="165"/>
      <c r="C879" s="165"/>
    </row>
    <row r="880" spans="2:3" ht="18.75" customHeight="1">
      <c r="B880" s="165"/>
      <c r="C880" s="165"/>
    </row>
    <row r="881" spans="2:3" ht="18.75" customHeight="1">
      <c r="B881" s="165"/>
      <c r="C881" s="165"/>
    </row>
    <row r="882" spans="2:3" ht="18.75" customHeight="1">
      <c r="B882" s="165"/>
      <c r="C882" s="165"/>
    </row>
    <row r="883" spans="2:3" ht="18.75" customHeight="1">
      <c r="B883" s="165"/>
      <c r="C883" s="165"/>
    </row>
    <row r="884" spans="2:3" ht="18.75" customHeight="1">
      <c r="B884" s="165"/>
      <c r="C884" s="165"/>
    </row>
    <row r="885" spans="2:3" ht="18.75" customHeight="1">
      <c r="B885" s="165"/>
      <c r="C885" s="165"/>
    </row>
    <row r="886" spans="2:3" ht="18.75" customHeight="1">
      <c r="B886" s="165"/>
      <c r="C886" s="165"/>
    </row>
    <row r="887" spans="2:3" ht="18.75" customHeight="1">
      <c r="B887" s="165"/>
      <c r="C887" s="165"/>
    </row>
    <row r="888" spans="2:3" ht="18.75" customHeight="1">
      <c r="B888" s="165"/>
      <c r="C888" s="165"/>
    </row>
    <row r="889" spans="2:3" ht="18.75" customHeight="1">
      <c r="B889" s="165"/>
      <c r="C889" s="165"/>
    </row>
    <row r="890" spans="2:3" ht="18.75" customHeight="1">
      <c r="B890" s="165"/>
      <c r="C890" s="165"/>
    </row>
    <row r="891" spans="2:3" ht="18.75" customHeight="1">
      <c r="B891" s="165"/>
      <c r="C891" s="165"/>
    </row>
    <row r="892" spans="2:3" ht="18.75" customHeight="1">
      <c r="B892" s="165"/>
      <c r="C892" s="165"/>
    </row>
    <row r="893" spans="2:3" ht="18.75" customHeight="1">
      <c r="B893" s="165"/>
      <c r="C893" s="165"/>
    </row>
    <row r="894" spans="2:3" ht="18.75" customHeight="1">
      <c r="B894" s="165"/>
      <c r="C894" s="165"/>
    </row>
    <row r="895" spans="2:3" ht="18.75" customHeight="1">
      <c r="B895" s="165"/>
      <c r="C895" s="165"/>
    </row>
    <row r="896" spans="2:3" ht="18.75" customHeight="1">
      <c r="B896" s="165"/>
      <c r="C896" s="165"/>
    </row>
    <row r="897" spans="2:3" ht="18.75" customHeight="1">
      <c r="B897" s="165"/>
      <c r="C897" s="165"/>
    </row>
    <row r="898" spans="2:3" ht="18.75" customHeight="1">
      <c r="B898" s="165"/>
      <c r="C898" s="165"/>
    </row>
    <row r="899" spans="2:3" ht="18.75" customHeight="1">
      <c r="B899" s="165"/>
      <c r="C899" s="165"/>
    </row>
    <row r="900" spans="2:3" ht="18.75" customHeight="1">
      <c r="B900" s="165"/>
      <c r="C900" s="165"/>
    </row>
    <row r="901" spans="2:3" ht="18.75" customHeight="1">
      <c r="B901" s="165"/>
      <c r="C901" s="165"/>
    </row>
    <row r="902" spans="2:3" ht="18.75" customHeight="1">
      <c r="B902" s="165"/>
      <c r="C902" s="165"/>
    </row>
    <row r="903" spans="2:3" ht="18.75" customHeight="1">
      <c r="B903" s="165"/>
      <c r="C903" s="165"/>
    </row>
    <row r="904" spans="2:3" ht="18.75" customHeight="1">
      <c r="B904" s="165"/>
      <c r="C904" s="165"/>
    </row>
    <row r="905" spans="2:3" ht="18.75" customHeight="1">
      <c r="B905" s="165"/>
      <c r="C905" s="165"/>
    </row>
    <row r="906" spans="2:3" ht="18.75" customHeight="1">
      <c r="B906" s="165"/>
      <c r="C906" s="165"/>
    </row>
    <row r="907" spans="2:3" ht="18.75" customHeight="1">
      <c r="B907" s="165"/>
      <c r="C907" s="165"/>
    </row>
    <row r="908" spans="2:3" ht="18.75" customHeight="1">
      <c r="B908" s="165"/>
      <c r="C908" s="165"/>
    </row>
    <row r="909" spans="2:3" ht="18.75" customHeight="1">
      <c r="B909" s="165"/>
      <c r="C909" s="165"/>
    </row>
    <row r="910" spans="2:3" ht="18.75" customHeight="1">
      <c r="B910" s="165"/>
      <c r="C910" s="165"/>
    </row>
    <row r="911" spans="2:3" ht="18.75" customHeight="1">
      <c r="B911" s="165"/>
      <c r="C911" s="165"/>
    </row>
    <row r="912" spans="2:3" ht="18.75" customHeight="1">
      <c r="B912" s="165"/>
      <c r="C912" s="165"/>
    </row>
    <row r="913" spans="2:3" ht="18.75" customHeight="1">
      <c r="B913" s="165"/>
      <c r="C913" s="165"/>
    </row>
    <row r="914" spans="2:3" ht="18.75" customHeight="1">
      <c r="B914" s="165"/>
      <c r="C914" s="165"/>
    </row>
    <row r="915" spans="2:3" ht="18.75" customHeight="1">
      <c r="B915" s="165"/>
      <c r="C915" s="165"/>
    </row>
    <row r="916" spans="2:3" ht="18.75" customHeight="1">
      <c r="B916" s="165"/>
      <c r="C916" s="165"/>
    </row>
    <row r="917" spans="2:3" ht="18.75" customHeight="1">
      <c r="B917" s="165"/>
      <c r="C917" s="165"/>
    </row>
    <row r="918" spans="2:3" ht="18.75" customHeight="1">
      <c r="B918" s="165"/>
      <c r="C918" s="165"/>
    </row>
    <row r="919" spans="2:3" ht="18.75" customHeight="1">
      <c r="B919" s="165"/>
      <c r="C919" s="165"/>
    </row>
    <row r="920" spans="2:3" ht="18.75" customHeight="1">
      <c r="B920" s="165"/>
      <c r="C920" s="165"/>
    </row>
    <row r="921" spans="2:3" ht="18.75" customHeight="1">
      <c r="B921" s="165"/>
      <c r="C921" s="165"/>
    </row>
    <row r="922" spans="2:3" ht="18.75" customHeight="1">
      <c r="B922" s="165"/>
      <c r="C922" s="165"/>
    </row>
    <row r="923" spans="2:3" ht="18.75" customHeight="1">
      <c r="B923" s="165"/>
      <c r="C923" s="165"/>
    </row>
    <row r="924" spans="2:3" ht="18.75" customHeight="1">
      <c r="B924" s="165"/>
      <c r="C924" s="165"/>
    </row>
    <row r="925" spans="2:3" ht="18.75" customHeight="1">
      <c r="B925" s="165"/>
      <c r="C925" s="165"/>
    </row>
    <row r="926" spans="2:3" ht="18.75" customHeight="1">
      <c r="B926" s="165"/>
      <c r="C926" s="165"/>
    </row>
    <row r="927" spans="2:3" ht="18.75" customHeight="1">
      <c r="B927" s="165"/>
      <c r="C927" s="165"/>
    </row>
    <row r="928" spans="2:3" ht="18.75" customHeight="1">
      <c r="B928" s="165"/>
      <c r="C928" s="165"/>
    </row>
    <row r="929" spans="2:3" ht="18.75" customHeight="1">
      <c r="B929" s="165"/>
      <c r="C929" s="165"/>
    </row>
    <row r="930" spans="2:3" ht="18.75" customHeight="1">
      <c r="B930" s="165"/>
      <c r="C930" s="165"/>
    </row>
    <row r="931" spans="2:3" ht="18.75" customHeight="1">
      <c r="B931" s="165"/>
      <c r="C931" s="165"/>
    </row>
    <row r="932" spans="2:3" ht="18.75" customHeight="1">
      <c r="B932" s="165"/>
      <c r="C932" s="165"/>
    </row>
    <row r="933" spans="2:3" ht="18.75" customHeight="1">
      <c r="B933" s="165"/>
      <c r="C933" s="165"/>
    </row>
    <row r="934" spans="2:3" ht="18.75" customHeight="1">
      <c r="B934" s="165"/>
      <c r="C934" s="165"/>
    </row>
    <row r="935" spans="2:3" ht="18.75" customHeight="1">
      <c r="B935" s="165"/>
      <c r="C935" s="165"/>
    </row>
    <row r="936" spans="2:3" ht="18.75" customHeight="1">
      <c r="B936" s="165"/>
      <c r="C936" s="165"/>
    </row>
    <row r="937" spans="2:3" ht="18.75" customHeight="1">
      <c r="B937" s="165"/>
      <c r="C937" s="165"/>
    </row>
    <row r="938" spans="2:3" ht="18.75" customHeight="1">
      <c r="B938" s="165"/>
      <c r="C938" s="165"/>
    </row>
    <row r="939" spans="2:3" ht="18.75" customHeight="1">
      <c r="B939" s="165"/>
      <c r="C939" s="165"/>
    </row>
    <row r="940" spans="2:3" ht="18.75" customHeight="1">
      <c r="B940" s="165"/>
      <c r="C940" s="165"/>
    </row>
    <row r="941" spans="2:3" ht="18.75" customHeight="1">
      <c r="B941" s="165"/>
      <c r="C941" s="165"/>
    </row>
    <row r="942" spans="2:3" ht="18.75" customHeight="1">
      <c r="B942" s="165"/>
      <c r="C942" s="165"/>
    </row>
    <row r="943" spans="2:3" ht="18.75" customHeight="1">
      <c r="B943" s="165"/>
      <c r="C943" s="165"/>
    </row>
    <row r="944" spans="2:3" ht="18.75" customHeight="1">
      <c r="B944" s="165"/>
      <c r="C944" s="165"/>
    </row>
    <row r="945" spans="2:3" ht="18.75" customHeight="1">
      <c r="B945" s="165"/>
      <c r="C945" s="165"/>
    </row>
    <row r="946" spans="2:3" ht="18.75" customHeight="1">
      <c r="B946" s="165"/>
      <c r="C946" s="165"/>
    </row>
    <row r="947" spans="2:3" ht="18.75" customHeight="1">
      <c r="B947" s="165"/>
      <c r="C947" s="165"/>
    </row>
    <row r="948" spans="2:3" ht="18.75" customHeight="1">
      <c r="B948" s="165"/>
      <c r="C948" s="165"/>
    </row>
    <row r="949" spans="2:3" ht="18.75" customHeight="1">
      <c r="B949" s="165"/>
      <c r="C949" s="165"/>
    </row>
    <row r="950" spans="2:3" ht="18.75" customHeight="1">
      <c r="B950" s="165"/>
      <c r="C950" s="165"/>
    </row>
    <row r="951" spans="2:3" ht="18.75" customHeight="1">
      <c r="B951" s="165"/>
      <c r="C951" s="165"/>
    </row>
    <row r="952" spans="2:3" ht="18.75" customHeight="1">
      <c r="B952" s="165"/>
      <c r="C952" s="165"/>
    </row>
    <row r="953" spans="2:3" ht="18.75" customHeight="1">
      <c r="B953" s="165"/>
      <c r="C953" s="165"/>
    </row>
    <row r="954" spans="2:3" ht="18.75" customHeight="1">
      <c r="B954" s="165"/>
      <c r="C954" s="165"/>
    </row>
    <row r="955" spans="2:3" ht="18.75" customHeight="1">
      <c r="B955" s="165"/>
      <c r="C955" s="165"/>
    </row>
    <row r="956" spans="2:3" ht="18.75" customHeight="1">
      <c r="B956" s="165"/>
      <c r="C956" s="165"/>
    </row>
    <row r="957" spans="2:3" ht="18.75" customHeight="1">
      <c r="B957" s="165"/>
      <c r="C957" s="165"/>
    </row>
    <row r="958" spans="2:3" ht="18.75" customHeight="1">
      <c r="B958" s="165"/>
      <c r="C958" s="165"/>
    </row>
    <row r="959" spans="2:3" ht="18.75" customHeight="1">
      <c r="B959" s="165"/>
      <c r="C959" s="165"/>
    </row>
    <row r="960" spans="2:3" ht="18.75" customHeight="1">
      <c r="B960" s="165"/>
      <c r="C960" s="165"/>
    </row>
    <row r="961" spans="2:3" ht="18.75" customHeight="1">
      <c r="B961" s="165"/>
      <c r="C961" s="165"/>
    </row>
    <row r="962" spans="2:3" ht="18.75" customHeight="1">
      <c r="B962" s="165"/>
      <c r="C962" s="165"/>
    </row>
    <row r="963" spans="2:3" ht="18.75" customHeight="1">
      <c r="B963" s="165"/>
      <c r="C963" s="165"/>
    </row>
    <row r="964" spans="2:3" ht="18.75" customHeight="1">
      <c r="B964" s="165"/>
      <c r="C964" s="165"/>
    </row>
    <row r="965" spans="2:3" ht="18.75" customHeight="1">
      <c r="B965" s="165"/>
      <c r="C965" s="165"/>
    </row>
    <row r="966" spans="2:3" ht="18.75" customHeight="1">
      <c r="B966" s="165"/>
      <c r="C966" s="165"/>
    </row>
    <row r="967" spans="2:3" ht="18.75" customHeight="1">
      <c r="B967" s="165"/>
      <c r="C967" s="165"/>
    </row>
    <row r="968" spans="2:3" ht="18.75" customHeight="1">
      <c r="B968" s="165"/>
      <c r="C968" s="165"/>
    </row>
    <row r="969" spans="2:3" ht="18.75" customHeight="1">
      <c r="B969" s="165"/>
      <c r="C969" s="165"/>
    </row>
    <row r="970" spans="2:3" ht="18.75" customHeight="1">
      <c r="B970" s="165"/>
      <c r="C970" s="165"/>
    </row>
    <row r="971" spans="2:3" ht="18.75" customHeight="1">
      <c r="B971" s="165"/>
      <c r="C971" s="165"/>
    </row>
  </sheetData>
  <autoFilter ref="B5:F34" xr:uid="{00000000-0009-0000-0000-000004000000}">
    <sortState xmlns:xlrd2="http://schemas.microsoft.com/office/spreadsheetml/2017/richdata2" ref="B5:F34">
      <sortCondition ref="B5:B34"/>
    </sortState>
  </autoFilter>
  <mergeCells count="5">
    <mergeCell ref="B37:C37"/>
    <mergeCell ref="B38:C38"/>
    <mergeCell ref="B39:C39"/>
    <mergeCell ref="B40:C40"/>
    <mergeCell ref="B1:C2"/>
  </mergeCells>
  <phoneticPr fontId="35"/>
  <dataValidations count="3">
    <dataValidation type="list" allowBlank="1" showInputMessage="1" showErrorMessage="1" sqref="C6:C34" xr:uid="{00000000-0002-0000-0400-000000000000}">
      <formula1>用途</formula1>
    </dataValidation>
    <dataValidation type="list" allowBlank="1" showInputMessage="1" showErrorMessage="1" sqref="E6:E34" xr:uid="{00000000-0002-0000-0400-000001000000}">
      <formula1>使用銃</formula1>
    </dataValidation>
    <dataValidation type="list" allowBlank="1" showInputMessage="1" showErrorMessage="1" sqref="D6:D34" xr:uid="{00000000-0002-0000-0400-000002000000}">
      <formula1>場所</formula1>
    </dataValidation>
  </dataValidations>
  <pageMargins left="0.70763888888888904" right="0.70763888888888904" top="0.74791666666666701" bottom="0.74791666666666701" header="0" footer="0"/>
  <pageSetup paperSize="9" fitToHeight="0" orientation="portrait" r:id="rId1"/>
  <headerFooter>
    <oddFooter>&amp;C&amp;P / 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7"/>
  <sheetViews>
    <sheetView topLeftCell="A21" workbookViewId="0">
      <selection activeCell="A36" sqref="A36"/>
    </sheetView>
  </sheetViews>
  <sheetFormatPr defaultColWidth="8.8984375" defaultRowHeight="13.8"/>
  <cols>
    <col min="1" max="2" width="28.19921875" customWidth="1"/>
  </cols>
  <sheetData>
    <row r="1" spans="1:1" ht="15">
      <c r="A1" s="140" t="s">
        <v>29</v>
      </c>
    </row>
    <row r="2" spans="1:1" ht="15">
      <c r="A2" s="140" t="s">
        <v>44</v>
      </c>
    </row>
    <row r="3" spans="1:1" ht="15">
      <c r="A3" s="140" t="s">
        <v>45</v>
      </c>
    </row>
    <row r="4" spans="1:1" ht="15">
      <c r="A4" s="140" t="s">
        <v>21</v>
      </c>
    </row>
    <row r="5" spans="1:1" ht="15">
      <c r="A5" s="140" t="s">
        <v>45</v>
      </c>
    </row>
    <row r="6" spans="1:1" ht="15">
      <c r="A6" s="140" t="s">
        <v>64</v>
      </c>
    </row>
    <row r="7" spans="1:1" ht="15">
      <c r="A7" s="140" t="s">
        <v>65</v>
      </c>
    </row>
    <row r="8" spans="1:1" ht="15">
      <c r="A8" s="141"/>
    </row>
    <row r="9" spans="1:1" ht="15">
      <c r="A9" s="142"/>
    </row>
    <row r="10" spans="1:1" ht="15">
      <c r="A10" s="142"/>
    </row>
    <row r="11" spans="1:1" ht="15">
      <c r="A11" s="143" t="s">
        <v>38</v>
      </c>
    </row>
    <row r="12" spans="1:1" ht="15">
      <c r="A12" s="144" t="s">
        <v>66</v>
      </c>
    </row>
    <row r="13" spans="1:1" ht="15">
      <c r="A13" s="144" t="s">
        <v>67</v>
      </c>
    </row>
    <row r="14" spans="1:1" ht="15">
      <c r="A14" s="144" t="s">
        <v>68</v>
      </c>
    </row>
    <row r="15" spans="1:1" ht="15">
      <c r="A15" s="144" t="s">
        <v>69</v>
      </c>
    </row>
    <row r="16" spans="1:1" ht="15">
      <c r="A16" s="144" t="s">
        <v>70</v>
      </c>
    </row>
    <row r="17" spans="1:1" ht="15">
      <c r="A17" s="144" t="s">
        <v>71</v>
      </c>
    </row>
    <row r="18" spans="1:1" ht="15">
      <c r="A18" s="144" t="s">
        <v>72</v>
      </c>
    </row>
    <row r="19" spans="1:1" ht="15">
      <c r="A19" s="144" t="s">
        <v>73</v>
      </c>
    </row>
    <row r="20" spans="1:1" ht="15">
      <c r="A20" s="144" t="s">
        <v>74</v>
      </c>
    </row>
    <row r="21" spans="1:1" ht="15">
      <c r="A21" s="144" t="s">
        <v>75</v>
      </c>
    </row>
    <row r="22" spans="1:1" ht="15">
      <c r="A22" s="144" t="s">
        <v>76</v>
      </c>
    </row>
    <row r="23" spans="1:1" ht="15">
      <c r="A23" s="144" t="s">
        <v>77</v>
      </c>
    </row>
    <row r="24" spans="1:1" ht="15">
      <c r="A24" s="144" t="s">
        <v>78</v>
      </c>
    </row>
    <row r="25" spans="1:1" ht="15">
      <c r="A25" s="144" t="s">
        <v>79</v>
      </c>
    </row>
    <row r="26" spans="1:1" ht="15">
      <c r="A26" s="144" t="s">
        <v>80</v>
      </c>
    </row>
    <row r="27" spans="1:1" ht="15">
      <c r="A27" s="144" t="s">
        <v>81</v>
      </c>
    </row>
    <row r="28" spans="1:1" ht="15">
      <c r="A28" s="144" t="s">
        <v>82</v>
      </c>
    </row>
    <row r="29" spans="1:1" ht="15">
      <c r="A29" s="144" t="s">
        <v>83</v>
      </c>
    </row>
    <row r="30" spans="1:1" ht="15">
      <c r="A30" s="145" t="s">
        <v>84</v>
      </c>
    </row>
    <row r="31" spans="1:1" ht="15">
      <c r="A31" s="145" t="s">
        <v>85</v>
      </c>
    </row>
    <row r="34" spans="1:1" ht="15">
      <c r="A34" s="143" t="s">
        <v>39</v>
      </c>
    </row>
    <row r="35" spans="1:1" ht="15">
      <c r="A35" s="144" t="s">
        <v>42</v>
      </c>
    </row>
    <row r="36" spans="1:1" ht="15">
      <c r="A36" s="144" t="s">
        <v>63</v>
      </c>
    </row>
    <row r="37" spans="1:1" ht="15">
      <c r="A37" s="144"/>
    </row>
  </sheetData>
  <phoneticPr fontId="35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972"/>
  <sheetViews>
    <sheetView showGridLines="0" workbookViewId="0">
      <selection activeCell="B1" sqref="B1"/>
    </sheetView>
  </sheetViews>
  <sheetFormatPr defaultColWidth="12.59765625" defaultRowHeight="15" customHeight="1"/>
  <cols>
    <col min="1" max="1" width="7.69921875" customWidth="1"/>
    <col min="2" max="2" width="4.8984375" customWidth="1"/>
    <col min="3" max="3" width="13.19921875" customWidth="1"/>
    <col min="4" max="4" width="19.5" customWidth="1"/>
    <col min="5" max="5" width="21.69921875" customWidth="1"/>
    <col min="6" max="6" width="6.5" customWidth="1"/>
    <col min="7" max="7" width="15.09765625" customWidth="1"/>
    <col min="8" max="8" width="1.69921875" customWidth="1"/>
    <col min="9" max="9" width="4.8984375" customWidth="1"/>
    <col min="10" max="25" width="7.69921875" customWidth="1"/>
  </cols>
  <sheetData>
    <row r="1" spans="1:2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6">
      <c r="A3" s="1"/>
      <c r="B3" s="111" t="s">
        <v>86</v>
      </c>
      <c r="C3" s="112"/>
      <c r="D3" s="112"/>
      <c r="E3" s="112"/>
      <c r="F3" s="112"/>
      <c r="G3" s="112"/>
      <c r="H3" s="112"/>
      <c r="I3" s="11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2">
      <c r="A4" s="1"/>
      <c r="B4" s="112"/>
      <c r="C4" s="113" t="s">
        <v>87</v>
      </c>
      <c r="D4" s="112"/>
      <c r="E4" s="112"/>
      <c r="F4" s="112"/>
      <c r="G4" s="112"/>
      <c r="H4" s="112"/>
      <c r="I4" s="1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>
      <c r="A5" s="1"/>
      <c r="B5" s="112"/>
      <c r="C5" s="112"/>
      <c r="D5" s="112"/>
      <c r="E5" s="112"/>
      <c r="F5" s="112"/>
      <c r="G5" s="112"/>
      <c r="H5" s="112"/>
      <c r="I5" s="1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>
      <c r="A6" s="1"/>
      <c r="B6" s="114" t="s">
        <v>88</v>
      </c>
      <c r="C6" s="115" t="s">
        <v>89</v>
      </c>
      <c r="D6" s="115" t="s">
        <v>90</v>
      </c>
      <c r="E6" s="115" t="s">
        <v>91</v>
      </c>
      <c r="F6" s="114" t="s">
        <v>92</v>
      </c>
      <c r="G6" s="114" t="s">
        <v>29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>
      <c r="A7" s="1"/>
      <c r="B7" s="115" t="s">
        <v>93</v>
      </c>
      <c r="C7" s="116" t="s">
        <v>94</v>
      </c>
      <c r="D7" s="115" t="s">
        <v>95</v>
      </c>
      <c r="E7" s="115" t="s">
        <v>96</v>
      </c>
      <c r="F7" s="114" t="s">
        <v>97</v>
      </c>
      <c r="G7" s="114" t="s">
        <v>98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>
      <c r="B8" s="117" t="s">
        <v>99</v>
      </c>
      <c r="C8" s="116" t="s">
        <v>100</v>
      </c>
      <c r="D8" s="115" t="s">
        <v>101</v>
      </c>
      <c r="E8" s="115" t="s">
        <v>102</v>
      </c>
      <c r="F8" s="114" t="s">
        <v>103</v>
      </c>
      <c r="G8" s="114" t="s">
        <v>104</v>
      </c>
    </row>
    <row r="9" spans="1:25" ht="13.5" customHeight="1">
      <c r="A9" s="1"/>
      <c r="B9" s="115"/>
      <c r="C9" s="116"/>
      <c r="D9" s="115"/>
      <c r="E9" s="115"/>
      <c r="F9" s="114"/>
      <c r="G9" s="1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>
      <c r="A10" s="1"/>
      <c r="B10" s="115"/>
      <c r="C10" s="118"/>
      <c r="D10" s="115"/>
      <c r="E10" s="114"/>
      <c r="F10" s="114"/>
      <c r="G10" s="1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>
      <c r="A11" s="1"/>
      <c r="B11" s="119"/>
      <c r="C11" s="112"/>
      <c r="D11" s="119"/>
      <c r="E11" s="112"/>
      <c r="F11" s="112"/>
      <c r="G11" s="1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>
      <c r="A12" s="1"/>
      <c r="B12" s="112"/>
      <c r="C12" s="112"/>
      <c r="D12" s="112"/>
      <c r="E12" s="112"/>
      <c r="F12" s="112"/>
      <c r="G12" s="1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customHeight="1">
      <c r="A13" s="1"/>
      <c r="B13" s="263" t="s">
        <v>105</v>
      </c>
      <c r="C13" s="263"/>
      <c r="D13" s="263"/>
      <c r="E13" s="263"/>
      <c r="F13" s="263"/>
      <c r="G13" s="263"/>
      <c r="H13" s="112"/>
      <c r="I13" s="1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5" customHeight="1">
      <c r="A14" s="1"/>
      <c r="B14" s="120" t="s">
        <v>88</v>
      </c>
      <c r="C14" s="120" t="s">
        <v>106</v>
      </c>
      <c r="D14" s="121" t="s">
        <v>107</v>
      </c>
      <c r="E14" s="122"/>
      <c r="F14" s="122"/>
      <c r="G14" s="123"/>
      <c r="H14" s="112"/>
      <c r="I14" s="1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>
      <c r="A15" s="1"/>
      <c r="B15" s="124" t="s">
        <v>108</v>
      </c>
      <c r="C15" s="125" t="s">
        <v>84</v>
      </c>
      <c r="D15" s="126" t="s">
        <v>109</v>
      </c>
      <c r="E15" s="127"/>
      <c r="F15" s="127"/>
      <c r="G15" s="12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>
      <c r="A16" s="1"/>
      <c r="B16" s="115" t="s">
        <v>110</v>
      </c>
      <c r="C16" s="129" t="s">
        <v>85</v>
      </c>
      <c r="D16" s="130" t="s">
        <v>111</v>
      </c>
      <c r="E16" s="131"/>
      <c r="F16" s="131"/>
      <c r="G16" s="1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>
      <c r="A17" s="1"/>
      <c r="B17" s="115" t="s">
        <v>112</v>
      </c>
      <c r="C17" s="129"/>
      <c r="D17" s="130"/>
      <c r="E17" s="131"/>
      <c r="F17" s="131"/>
      <c r="G17" s="13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>
      <c r="A18" s="1"/>
      <c r="B18" s="115" t="s">
        <v>113</v>
      </c>
      <c r="C18" s="129"/>
      <c r="D18" s="130"/>
      <c r="E18" s="131"/>
      <c r="F18" s="131"/>
      <c r="G18" s="13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>
      <c r="A19" s="1"/>
      <c r="B19" s="115" t="s">
        <v>114</v>
      </c>
      <c r="C19" s="114"/>
      <c r="D19" s="130"/>
      <c r="E19" s="131"/>
      <c r="F19" s="131"/>
      <c r="G19" s="13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>
      <c r="A20" s="1"/>
      <c r="B20" s="119"/>
      <c r="C20" s="133"/>
      <c r="D20" s="112"/>
      <c r="E20" s="112"/>
      <c r="F20" s="112"/>
      <c r="G20" s="1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>
      <c r="A21" s="1"/>
      <c r="B21" s="264" t="s">
        <v>115</v>
      </c>
      <c r="C21" s="264"/>
      <c r="D21" s="264"/>
      <c r="E21" s="264"/>
      <c r="F21" s="264"/>
      <c r="G21" s="26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>
      <c r="A22" s="1"/>
      <c r="B22" s="134" t="s">
        <v>88</v>
      </c>
      <c r="C22" s="135" t="s">
        <v>116</v>
      </c>
      <c r="D22" s="136"/>
      <c r="E22" s="135" t="s">
        <v>107</v>
      </c>
      <c r="F22" s="58"/>
      <c r="G22" s="22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>
      <c r="A23" s="1"/>
      <c r="B23" s="134" t="s">
        <v>117</v>
      </c>
      <c r="C23" s="135" t="s">
        <v>82</v>
      </c>
      <c r="D23" s="136"/>
      <c r="E23" s="135" t="s">
        <v>118</v>
      </c>
      <c r="F23" s="58"/>
      <c r="G23" s="6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>
      <c r="A24" s="1"/>
      <c r="B24" s="134" t="s">
        <v>119</v>
      </c>
      <c r="C24" s="135" t="s">
        <v>83</v>
      </c>
      <c r="D24" s="137"/>
      <c r="E24" s="138" t="s">
        <v>120</v>
      </c>
      <c r="F24" s="139"/>
      <c r="G24" s="13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>
      <c r="A25" s="1"/>
      <c r="B25" s="134" t="s">
        <v>121</v>
      </c>
      <c r="C25" s="135"/>
      <c r="D25" s="137"/>
      <c r="E25" s="138"/>
      <c r="F25" s="139"/>
      <c r="G25" s="13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>
      <c r="A26" s="1"/>
      <c r="B26" s="134"/>
      <c r="C26" s="135"/>
      <c r="D26" s="137"/>
      <c r="E26" s="138"/>
      <c r="F26" s="139"/>
      <c r="G26" s="13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</sheetData>
  <mergeCells count="2">
    <mergeCell ref="B13:G13"/>
    <mergeCell ref="B21:G21"/>
  </mergeCells>
  <phoneticPr fontId="35"/>
  <pageMargins left="0.70763888888888904" right="0.70763888888888904" top="0.74791666666666701" bottom="0.74791666666666701" header="0" footer="0"/>
  <pageSetup paperSize="9" fitToHeight="0" orientation="portrait"/>
  <headerFooter>
    <oddFooter>&amp;C&amp;P / 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topLeftCell="A3" workbookViewId="0">
      <selection activeCell="A17" sqref="A17"/>
    </sheetView>
  </sheetViews>
  <sheetFormatPr defaultColWidth="12.59765625" defaultRowHeight="15" customHeight="1"/>
  <cols>
    <col min="1" max="1" width="22.09765625" customWidth="1"/>
    <col min="2" max="2" width="15.19921875" customWidth="1"/>
    <col min="3" max="26" width="7.69921875" customWidth="1"/>
  </cols>
  <sheetData>
    <row r="1" spans="1:3" ht="18.75" customHeight="1">
      <c r="A1" s="108" t="s">
        <v>122</v>
      </c>
      <c r="B1" s="109" t="s">
        <v>123</v>
      </c>
    </row>
    <row r="2" spans="1:3" ht="18.75" customHeight="1">
      <c r="A2" s="108" t="s">
        <v>124</v>
      </c>
      <c r="B2" s="108" t="s">
        <v>125</v>
      </c>
      <c r="C2" s="108" t="s">
        <v>126</v>
      </c>
    </row>
    <row r="3" spans="1:3" ht="18.75" customHeight="1">
      <c r="A3" s="108" t="s">
        <v>127</v>
      </c>
      <c r="B3" s="108" t="s">
        <v>128</v>
      </c>
    </row>
    <row r="4" spans="1:3" ht="18.75" customHeight="1">
      <c r="A4" s="108" t="s">
        <v>129</v>
      </c>
      <c r="B4" s="108" t="s">
        <v>130</v>
      </c>
      <c r="C4" s="108" t="s">
        <v>131</v>
      </c>
    </row>
    <row r="5" spans="1:3" ht="18.75" customHeight="1">
      <c r="A5" s="108" t="s">
        <v>132</v>
      </c>
      <c r="B5" s="108" t="s">
        <v>133</v>
      </c>
    </row>
    <row r="6" spans="1:3" ht="18.75" customHeight="1">
      <c r="A6" s="108" t="s">
        <v>134</v>
      </c>
      <c r="B6" s="108" t="s">
        <v>135</v>
      </c>
    </row>
    <row r="7" spans="1:3" ht="18.75" customHeight="1">
      <c r="A7" s="108" t="s">
        <v>136</v>
      </c>
      <c r="B7" s="108" t="s">
        <v>137</v>
      </c>
    </row>
    <row r="8" spans="1:3" ht="18.75" customHeight="1">
      <c r="A8" s="108" t="s">
        <v>138</v>
      </c>
      <c r="B8" s="110" t="s">
        <v>139</v>
      </c>
    </row>
    <row r="9" spans="1:3" ht="18.75" customHeight="1">
      <c r="A9" s="108" t="s">
        <v>140</v>
      </c>
      <c r="B9" s="108" t="s">
        <v>141</v>
      </c>
    </row>
    <row r="10" spans="1:3" ht="18.75" customHeight="1">
      <c r="A10" s="108" t="s">
        <v>142</v>
      </c>
      <c r="B10" s="108" t="s">
        <v>143</v>
      </c>
    </row>
    <row r="11" spans="1:3" ht="18.75" customHeight="1">
      <c r="A11" s="109" t="s">
        <v>144</v>
      </c>
      <c r="B11" s="109" t="s">
        <v>145</v>
      </c>
    </row>
    <row r="12" spans="1:3" ht="18.75" customHeight="1">
      <c r="A12" s="108" t="s">
        <v>146</v>
      </c>
      <c r="B12" s="109" t="s">
        <v>147</v>
      </c>
    </row>
    <row r="13" spans="1:3" ht="18.75" customHeight="1">
      <c r="A13" s="109" t="s">
        <v>148</v>
      </c>
      <c r="B13" s="109" t="s">
        <v>149</v>
      </c>
    </row>
    <row r="14" spans="1:3" ht="18.75" customHeight="1">
      <c r="A14" s="109" t="s">
        <v>150</v>
      </c>
      <c r="B14" s="109" t="s">
        <v>151</v>
      </c>
    </row>
    <row r="15" spans="1:3" ht="18.75" customHeight="1">
      <c r="A15" s="109" t="s">
        <v>152</v>
      </c>
      <c r="B15" s="109" t="s">
        <v>153</v>
      </c>
    </row>
    <row r="16" spans="1:3" ht="18.75" customHeight="1">
      <c r="A16" s="109" t="s">
        <v>154</v>
      </c>
      <c r="B16" s="109" t="s">
        <v>155</v>
      </c>
    </row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35"/>
  <pageMargins left="0.69930555555555596" right="0.69930555555555596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1000"/>
  <sheetViews>
    <sheetView showGridLines="0" workbookViewId="0"/>
  </sheetViews>
  <sheetFormatPr defaultColWidth="12.59765625" defaultRowHeight="15" customHeight="1"/>
  <cols>
    <col min="1" max="1" width="1.69921875" customWidth="1"/>
    <col min="2" max="2" width="2.09765625" customWidth="1"/>
    <col min="3" max="3" width="2.59765625" customWidth="1"/>
    <col min="4" max="9" width="2.09765625" customWidth="1"/>
    <col min="10" max="16" width="2.19921875" customWidth="1"/>
    <col min="17" max="18" width="2.09765625" customWidth="1"/>
    <col min="19" max="26" width="2.19921875" customWidth="1"/>
    <col min="27" max="36" width="2.09765625" customWidth="1"/>
    <col min="37" max="38" width="2" customWidth="1"/>
  </cols>
  <sheetData>
    <row r="1" spans="1:38" ht="14.25" customHeight="1">
      <c r="A1" s="36"/>
      <c r="B1" s="1" t="s">
        <v>156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</row>
    <row r="2" spans="1:38" ht="21.75" customHeight="1">
      <c r="A2" s="68"/>
      <c r="B2" s="69"/>
      <c r="C2" s="70" t="s">
        <v>157</v>
      </c>
      <c r="D2" s="71"/>
      <c r="E2" s="287" t="s">
        <v>158</v>
      </c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7"/>
    </row>
    <row r="3" spans="1:38" ht="21.75" customHeight="1">
      <c r="A3" s="68"/>
      <c r="B3" s="72"/>
      <c r="C3" s="220" t="s">
        <v>159</v>
      </c>
      <c r="D3" s="220"/>
      <c r="E3" s="277" t="s">
        <v>160</v>
      </c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20"/>
      <c r="U3" s="220" t="s">
        <v>161</v>
      </c>
      <c r="V3" s="220"/>
      <c r="W3" s="277" t="s">
        <v>162</v>
      </c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9"/>
    </row>
    <row r="4" spans="1:38" ht="21.75" customHeight="1">
      <c r="A4" s="68"/>
      <c r="B4" s="73"/>
      <c r="C4" s="74" t="s">
        <v>163</v>
      </c>
      <c r="D4" s="75"/>
      <c r="E4" s="284" t="s">
        <v>164</v>
      </c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3"/>
    </row>
    <row r="5" spans="1:38" ht="21.75" customHeight="1">
      <c r="A5" s="68"/>
      <c r="B5" s="76"/>
      <c r="C5" s="220" t="s">
        <v>161</v>
      </c>
      <c r="D5" s="220"/>
      <c r="E5" s="277" t="s">
        <v>165</v>
      </c>
      <c r="F5" s="278"/>
      <c r="G5" s="278"/>
      <c r="H5" s="278"/>
      <c r="I5" s="278"/>
      <c r="J5" s="278"/>
      <c r="K5" s="278"/>
      <c r="L5" s="278"/>
      <c r="M5" s="278"/>
      <c r="N5" s="278"/>
      <c r="O5" s="220"/>
      <c r="P5" s="220" t="s">
        <v>159</v>
      </c>
      <c r="Q5" s="220"/>
      <c r="R5" s="277" t="s">
        <v>166</v>
      </c>
      <c r="S5" s="278"/>
      <c r="T5" s="278"/>
      <c r="U5" s="278"/>
      <c r="V5" s="278"/>
      <c r="W5" s="278"/>
      <c r="X5" s="278"/>
      <c r="Y5" s="278"/>
      <c r="Z5" s="220"/>
      <c r="AA5" s="220" t="s">
        <v>161</v>
      </c>
      <c r="AB5" s="220" t="s">
        <v>167</v>
      </c>
      <c r="AC5" s="277" t="s">
        <v>168</v>
      </c>
      <c r="AD5" s="278"/>
      <c r="AE5" s="278"/>
      <c r="AF5" s="278"/>
      <c r="AG5" s="278"/>
      <c r="AH5" s="278"/>
      <c r="AI5" s="278"/>
      <c r="AJ5" s="278"/>
      <c r="AK5" s="278"/>
      <c r="AL5" s="279"/>
    </row>
    <row r="6" spans="1:38" ht="21.75" customHeight="1">
      <c r="A6" s="68"/>
      <c r="B6" s="77"/>
      <c r="C6" s="74" t="s">
        <v>169</v>
      </c>
      <c r="D6" s="78"/>
      <c r="E6" s="271" t="s">
        <v>170</v>
      </c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2"/>
      <c r="AL6" s="273"/>
    </row>
    <row r="7" spans="1:38" ht="21.75" customHeight="1">
      <c r="A7" s="68"/>
      <c r="B7" s="79"/>
      <c r="C7" s="222" t="s">
        <v>159</v>
      </c>
      <c r="D7" s="222"/>
      <c r="E7" s="222" t="s">
        <v>171</v>
      </c>
      <c r="F7" s="222"/>
      <c r="G7" s="222"/>
      <c r="H7" s="222"/>
      <c r="I7" s="222"/>
      <c r="J7" s="222"/>
      <c r="K7" s="94"/>
      <c r="L7" s="222" t="s">
        <v>161</v>
      </c>
      <c r="M7" s="222"/>
      <c r="N7" s="222" t="s">
        <v>172</v>
      </c>
      <c r="O7" s="68"/>
      <c r="P7" s="222"/>
      <c r="Q7" s="68"/>
      <c r="R7" s="222"/>
      <c r="S7" s="222"/>
      <c r="T7" s="94"/>
      <c r="U7" s="222" t="s">
        <v>161</v>
      </c>
      <c r="V7" s="222"/>
      <c r="W7" s="222" t="s">
        <v>173</v>
      </c>
      <c r="X7" s="222"/>
      <c r="Y7" s="222"/>
      <c r="Z7" s="222"/>
      <c r="AA7" s="68"/>
      <c r="AB7" s="222"/>
      <c r="AC7" s="68"/>
      <c r="AD7" s="222"/>
      <c r="AE7" s="222"/>
      <c r="AF7" s="222"/>
      <c r="AG7" s="222"/>
      <c r="AH7" s="222"/>
      <c r="AI7" s="222"/>
      <c r="AJ7" s="222"/>
      <c r="AK7" s="222"/>
      <c r="AL7" s="102"/>
    </row>
    <row r="8" spans="1:38" ht="21.75" customHeight="1">
      <c r="A8" s="68"/>
      <c r="B8" s="72"/>
      <c r="C8" s="220" t="s">
        <v>161</v>
      </c>
      <c r="D8" s="220"/>
      <c r="E8" s="277" t="s">
        <v>174</v>
      </c>
      <c r="F8" s="278"/>
      <c r="G8" s="278"/>
      <c r="H8" s="278"/>
      <c r="I8" s="278"/>
      <c r="J8" s="278"/>
      <c r="K8" s="278"/>
      <c r="L8" s="278"/>
      <c r="M8" s="278"/>
      <c r="N8" s="95"/>
      <c r="O8" s="220" t="s">
        <v>161</v>
      </c>
      <c r="P8" s="220"/>
      <c r="Q8" s="277" t="s">
        <v>175</v>
      </c>
      <c r="R8" s="278"/>
      <c r="S8" s="278"/>
      <c r="T8" s="278"/>
      <c r="U8" s="278"/>
      <c r="V8" s="278"/>
      <c r="W8" s="278"/>
      <c r="X8" s="278"/>
      <c r="Y8" s="278"/>
      <c r="Z8" s="95"/>
      <c r="AA8" s="220" t="s">
        <v>161</v>
      </c>
      <c r="AB8" s="220"/>
      <c r="AC8" s="277" t="s">
        <v>176</v>
      </c>
      <c r="AD8" s="278"/>
      <c r="AE8" s="278"/>
      <c r="AF8" s="278"/>
      <c r="AG8" s="278"/>
      <c r="AH8" s="278"/>
      <c r="AI8" s="278"/>
      <c r="AJ8" s="278"/>
      <c r="AK8" s="278"/>
      <c r="AL8" s="279"/>
    </row>
    <row r="9" spans="1:38" ht="21.75" customHeight="1">
      <c r="A9" s="68"/>
      <c r="B9" s="73"/>
      <c r="C9" s="74" t="s">
        <v>177</v>
      </c>
      <c r="D9" s="75"/>
      <c r="E9" s="284" t="s">
        <v>178</v>
      </c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3"/>
    </row>
    <row r="10" spans="1:38" ht="21.75" customHeight="1">
      <c r="A10" s="68"/>
      <c r="B10" s="80"/>
      <c r="C10" s="223"/>
      <c r="D10" s="223"/>
      <c r="E10" s="223"/>
      <c r="F10" s="81" t="s">
        <v>179</v>
      </c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103"/>
    </row>
    <row r="11" spans="1:38" ht="21.75" customHeight="1">
      <c r="A11" s="68"/>
      <c r="B11" s="69"/>
      <c r="C11" s="70" t="s">
        <v>180</v>
      </c>
      <c r="D11" s="71"/>
      <c r="E11" s="284" t="s">
        <v>181</v>
      </c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272"/>
      <c r="AK11" s="272"/>
      <c r="AL11" s="273"/>
    </row>
    <row r="12" spans="1:38" ht="21.75" customHeight="1">
      <c r="A12" s="68"/>
      <c r="B12" s="72"/>
      <c r="C12" s="220" t="s">
        <v>159</v>
      </c>
      <c r="D12" s="220"/>
      <c r="E12" s="277" t="s">
        <v>171</v>
      </c>
      <c r="F12" s="278"/>
      <c r="G12" s="278"/>
      <c r="H12" s="278"/>
      <c r="I12" s="278"/>
      <c r="J12" s="278"/>
      <c r="K12" s="278"/>
      <c r="L12" s="278"/>
      <c r="M12" s="278"/>
      <c r="N12" s="95"/>
      <c r="O12" s="220" t="s">
        <v>161</v>
      </c>
      <c r="P12" s="220"/>
      <c r="Q12" s="277" t="s">
        <v>172</v>
      </c>
      <c r="R12" s="278"/>
      <c r="S12" s="278"/>
      <c r="T12" s="278"/>
      <c r="U12" s="278"/>
      <c r="V12" s="278"/>
      <c r="W12" s="278"/>
      <c r="X12" s="278"/>
      <c r="Y12" s="68"/>
      <c r="Z12" s="95"/>
      <c r="AA12" s="220" t="s">
        <v>161</v>
      </c>
      <c r="AB12" s="68"/>
      <c r="AC12" s="220" t="s">
        <v>48</v>
      </c>
      <c r="AD12" s="220"/>
      <c r="AE12" s="220"/>
      <c r="AF12" s="220"/>
      <c r="AG12" s="220"/>
      <c r="AH12" s="220"/>
      <c r="AI12" s="220"/>
      <c r="AJ12" s="220"/>
      <c r="AK12" s="220"/>
      <c r="AL12" s="104"/>
    </row>
    <row r="13" spans="1:38" ht="21.75" customHeight="1">
      <c r="A13" s="68"/>
      <c r="B13" s="73"/>
      <c r="C13" s="74" t="s">
        <v>182</v>
      </c>
      <c r="D13" s="75"/>
      <c r="E13" s="284" t="s">
        <v>183</v>
      </c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2"/>
      <c r="AK13" s="272"/>
      <c r="AL13" s="273"/>
    </row>
    <row r="14" spans="1:38" ht="21.75" customHeight="1">
      <c r="A14" s="68"/>
      <c r="B14" s="82"/>
      <c r="C14" s="222" t="s">
        <v>159</v>
      </c>
      <c r="D14" s="222"/>
      <c r="E14" s="280" t="s">
        <v>171</v>
      </c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2"/>
    </row>
    <row r="15" spans="1:38" ht="21.75" customHeight="1">
      <c r="A15" s="68"/>
      <c r="B15" s="82"/>
      <c r="C15" s="222" t="s">
        <v>161</v>
      </c>
      <c r="D15" s="222"/>
      <c r="E15" s="280" t="s">
        <v>184</v>
      </c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2"/>
    </row>
    <row r="16" spans="1:38" ht="21.75" customHeight="1">
      <c r="A16" s="68"/>
      <c r="B16" s="82"/>
      <c r="C16" s="222" t="s">
        <v>161</v>
      </c>
      <c r="D16" s="222"/>
      <c r="E16" s="280" t="s">
        <v>185</v>
      </c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2"/>
    </row>
    <row r="17" spans="1:38" ht="21.75" customHeight="1">
      <c r="A17" s="68"/>
      <c r="B17" s="82"/>
      <c r="C17" s="222" t="s">
        <v>161</v>
      </c>
      <c r="D17" s="222"/>
      <c r="E17" s="280" t="s">
        <v>186</v>
      </c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2"/>
    </row>
    <row r="18" spans="1:38" ht="21.75" customHeight="1">
      <c r="A18" s="68"/>
      <c r="B18" s="80"/>
      <c r="C18" s="223" t="s">
        <v>161</v>
      </c>
      <c r="D18" s="223"/>
      <c r="E18" s="223" t="s">
        <v>173</v>
      </c>
      <c r="F18" s="68"/>
      <c r="G18" s="223"/>
      <c r="H18" s="223"/>
      <c r="I18" s="223"/>
      <c r="J18" s="223"/>
      <c r="K18" s="223"/>
      <c r="L18" s="95"/>
      <c r="M18" s="223" t="s">
        <v>48</v>
      </c>
      <c r="N18" s="223"/>
      <c r="O18" s="223"/>
      <c r="P18" s="223"/>
      <c r="Q18" s="268"/>
      <c r="R18" s="269"/>
      <c r="S18" s="269"/>
      <c r="T18" s="269"/>
      <c r="U18" s="269"/>
      <c r="V18" s="269"/>
      <c r="W18" s="269"/>
      <c r="X18" s="269"/>
      <c r="Y18" s="269"/>
      <c r="Z18" s="269"/>
      <c r="AA18" s="269"/>
      <c r="AB18" s="269"/>
      <c r="AC18" s="269"/>
      <c r="AD18" s="269"/>
      <c r="AE18" s="269"/>
      <c r="AF18" s="269"/>
      <c r="AG18" s="269"/>
      <c r="AH18" s="269"/>
      <c r="AI18" s="269"/>
      <c r="AJ18" s="269"/>
      <c r="AK18" s="269"/>
      <c r="AL18" s="270"/>
    </row>
    <row r="19" spans="1:38" ht="21.75" customHeight="1">
      <c r="A19" s="68"/>
      <c r="B19" s="77"/>
      <c r="C19" s="221" t="s">
        <v>187</v>
      </c>
      <c r="D19" s="78"/>
      <c r="E19" s="271" t="s">
        <v>188</v>
      </c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  <c r="AA19" s="272"/>
      <c r="AB19" s="272"/>
      <c r="AC19" s="272"/>
      <c r="AD19" s="272"/>
      <c r="AE19" s="272"/>
      <c r="AF19" s="272"/>
      <c r="AG19" s="272"/>
      <c r="AH19" s="272"/>
      <c r="AI19" s="272"/>
      <c r="AJ19" s="272"/>
      <c r="AK19" s="272"/>
      <c r="AL19" s="273"/>
    </row>
    <row r="20" spans="1:38" ht="21.75" customHeight="1">
      <c r="A20" s="68"/>
      <c r="B20" s="83"/>
      <c r="C20" s="84" t="s">
        <v>159</v>
      </c>
      <c r="D20" s="84"/>
      <c r="E20" s="283" t="s">
        <v>189</v>
      </c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20" t="s">
        <v>161</v>
      </c>
      <c r="U20" s="220"/>
      <c r="V20" s="277" t="s">
        <v>190</v>
      </c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9"/>
    </row>
    <row r="21" spans="1:38" ht="21.75" customHeight="1">
      <c r="A21" s="68"/>
      <c r="B21" s="73"/>
      <c r="C21" s="74" t="s">
        <v>191</v>
      </c>
      <c r="D21" s="75"/>
      <c r="E21" s="284" t="s">
        <v>192</v>
      </c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  <c r="AA21" s="272"/>
      <c r="AB21" s="272"/>
      <c r="AC21" s="272"/>
      <c r="AD21" s="272"/>
      <c r="AE21" s="272"/>
      <c r="AF21" s="272"/>
      <c r="AG21" s="272"/>
      <c r="AH21" s="272"/>
      <c r="AI21" s="272"/>
      <c r="AJ21" s="272"/>
      <c r="AK21" s="272"/>
      <c r="AL21" s="273"/>
    </row>
    <row r="22" spans="1:38" ht="21.75" customHeight="1">
      <c r="A22" s="68"/>
      <c r="B22" s="80"/>
      <c r="C22" s="223" t="s">
        <v>159</v>
      </c>
      <c r="D22" s="223"/>
      <c r="E22" s="268" t="s">
        <v>171</v>
      </c>
      <c r="F22" s="269"/>
      <c r="G22" s="269"/>
      <c r="H22" s="269"/>
      <c r="I22" s="269"/>
      <c r="J22" s="269"/>
      <c r="K22" s="269"/>
      <c r="L22" s="269"/>
      <c r="M22" s="269"/>
      <c r="N22" s="223"/>
      <c r="O22" s="223" t="s">
        <v>161</v>
      </c>
      <c r="P22" s="223"/>
      <c r="Q22" s="268" t="s">
        <v>172</v>
      </c>
      <c r="R22" s="269"/>
      <c r="S22" s="269"/>
      <c r="T22" s="269"/>
      <c r="U22" s="269"/>
      <c r="V22" s="269"/>
      <c r="W22" s="269"/>
      <c r="X22" s="269"/>
      <c r="Y22" s="285"/>
      <c r="Z22" s="286" t="s">
        <v>193</v>
      </c>
      <c r="AA22" s="269"/>
      <c r="AB22" s="269"/>
      <c r="AC22" s="285"/>
      <c r="AD22" s="286"/>
      <c r="AE22" s="269"/>
      <c r="AF22" s="269"/>
      <c r="AG22" s="269"/>
      <c r="AH22" s="269"/>
      <c r="AI22" s="269"/>
      <c r="AJ22" s="269"/>
      <c r="AK22" s="269"/>
      <c r="AL22" s="270"/>
    </row>
    <row r="23" spans="1:38" ht="21.75" customHeight="1">
      <c r="A23" s="68"/>
      <c r="B23" s="77"/>
      <c r="C23" s="221" t="s">
        <v>194</v>
      </c>
      <c r="D23" s="78"/>
      <c r="E23" s="271" t="s">
        <v>195</v>
      </c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3"/>
    </row>
    <row r="24" spans="1:38" ht="21.75" customHeight="1">
      <c r="A24" s="68"/>
      <c r="B24" s="80"/>
      <c r="C24" s="220" t="s">
        <v>159</v>
      </c>
      <c r="D24" s="220"/>
      <c r="E24" s="277" t="s">
        <v>196</v>
      </c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20"/>
      <c r="U24" s="220" t="s">
        <v>161</v>
      </c>
      <c r="V24" s="220"/>
      <c r="W24" s="277" t="s">
        <v>197</v>
      </c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9"/>
    </row>
    <row r="25" spans="1:38" ht="21.75" customHeight="1">
      <c r="A25" s="68"/>
      <c r="B25" s="85"/>
      <c r="C25" s="224" t="s">
        <v>198</v>
      </c>
      <c r="D25" s="86"/>
      <c r="E25" s="265" t="s">
        <v>199</v>
      </c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7"/>
    </row>
    <row r="26" spans="1:38" ht="21.75" customHeight="1">
      <c r="A26" s="68"/>
      <c r="B26" s="82"/>
      <c r="C26" s="222" t="s">
        <v>161</v>
      </c>
      <c r="D26" s="222"/>
      <c r="E26" s="280" t="s">
        <v>200</v>
      </c>
      <c r="F26" s="281"/>
      <c r="G26" s="281"/>
      <c r="H26" s="281"/>
      <c r="I26" s="281"/>
      <c r="J26" s="281"/>
      <c r="K26" s="281"/>
      <c r="L26" s="281"/>
      <c r="M26" s="281"/>
      <c r="N26" s="222"/>
      <c r="O26" s="222" t="s">
        <v>161</v>
      </c>
      <c r="P26" s="222"/>
      <c r="Q26" s="280" t="s">
        <v>201</v>
      </c>
      <c r="R26" s="281"/>
      <c r="S26" s="281"/>
      <c r="T26" s="281"/>
      <c r="U26" s="281"/>
      <c r="V26" s="281"/>
      <c r="W26" s="281"/>
      <c r="X26" s="281"/>
      <c r="Y26" s="281"/>
      <c r="Z26" s="222"/>
      <c r="AA26" s="222" t="s">
        <v>161</v>
      </c>
      <c r="AB26" s="222"/>
      <c r="AC26" s="280" t="s">
        <v>202</v>
      </c>
      <c r="AD26" s="281"/>
      <c r="AE26" s="281"/>
      <c r="AF26" s="281"/>
      <c r="AG26" s="281"/>
      <c r="AH26" s="281"/>
      <c r="AI26" s="281"/>
      <c r="AJ26" s="281"/>
      <c r="AK26" s="281"/>
      <c r="AL26" s="282"/>
    </row>
    <row r="27" spans="1:38" ht="21.75" customHeight="1">
      <c r="A27" s="68"/>
      <c r="B27" s="80"/>
      <c r="C27" s="223" t="s">
        <v>159</v>
      </c>
      <c r="D27" s="223"/>
      <c r="E27" s="268" t="s">
        <v>203</v>
      </c>
      <c r="F27" s="269"/>
      <c r="G27" s="269"/>
      <c r="H27" s="269"/>
      <c r="I27" s="269"/>
      <c r="J27" s="269"/>
      <c r="K27" s="269"/>
      <c r="L27" s="269"/>
      <c r="M27" s="269"/>
      <c r="N27" s="223"/>
      <c r="O27" s="223" t="s">
        <v>161</v>
      </c>
      <c r="P27" s="223"/>
      <c r="Q27" s="268" t="s">
        <v>204</v>
      </c>
      <c r="R27" s="269"/>
      <c r="S27" s="269"/>
      <c r="T27" s="269"/>
      <c r="U27" s="269"/>
      <c r="V27" s="269"/>
      <c r="W27" s="269"/>
      <c r="X27" s="269"/>
      <c r="Y27" s="269"/>
      <c r="Z27" s="223"/>
      <c r="AA27" s="223" t="s">
        <v>159</v>
      </c>
      <c r="AB27" s="223"/>
      <c r="AC27" s="268" t="s">
        <v>205</v>
      </c>
      <c r="AD27" s="269"/>
      <c r="AE27" s="269"/>
      <c r="AF27" s="269"/>
      <c r="AG27" s="269"/>
      <c r="AH27" s="269"/>
      <c r="AI27" s="269"/>
      <c r="AJ27" s="269"/>
      <c r="AK27" s="269"/>
      <c r="AL27" s="270"/>
    </row>
    <row r="28" spans="1:38" ht="21.75" customHeight="1">
      <c r="A28" s="68"/>
      <c r="B28" s="77"/>
      <c r="C28" s="221" t="s">
        <v>206</v>
      </c>
      <c r="D28" s="78"/>
      <c r="E28" s="271" t="s">
        <v>207</v>
      </c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3"/>
    </row>
    <row r="29" spans="1:38" ht="21.75" customHeight="1">
      <c r="A29" s="68"/>
      <c r="B29" s="87"/>
      <c r="C29" s="225" t="s">
        <v>159</v>
      </c>
      <c r="D29" s="225"/>
      <c r="E29" s="274" t="s">
        <v>171</v>
      </c>
      <c r="F29" s="275"/>
      <c r="G29" s="275"/>
      <c r="H29" s="275"/>
      <c r="I29" s="275"/>
      <c r="J29" s="275"/>
      <c r="K29" s="275"/>
      <c r="L29" s="275"/>
      <c r="M29" s="275"/>
      <c r="N29" s="225"/>
      <c r="O29" s="225" t="s">
        <v>161</v>
      </c>
      <c r="P29" s="225"/>
      <c r="Q29" s="274" t="s">
        <v>208</v>
      </c>
      <c r="R29" s="275"/>
      <c r="S29" s="275"/>
      <c r="T29" s="275"/>
      <c r="U29" s="275"/>
      <c r="V29" s="275"/>
      <c r="W29" s="275"/>
      <c r="X29" s="275"/>
      <c r="Y29" s="275"/>
      <c r="Z29" s="225"/>
      <c r="AA29" s="225" t="s">
        <v>161</v>
      </c>
      <c r="AB29" s="225"/>
      <c r="AC29" s="274" t="s">
        <v>209</v>
      </c>
      <c r="AD29" s="275"/>
      <c r="AE29" s="275"/>
      <c r="AF29" s="275"/>
      <c r="AG29" s="275"/>
      <c r="AH29" s="275"/>
      <c r="AI29" s="275"/>
      <c r="AJ29" s="275"/>
      <c r="AK29" s="275"/>
      <c r="AL29" s="276"/>
    </row>
    <row r="30" spans="1:38" ht="21.75" customHeight="1">
      <c r="A30" s="68"/>
      <c r="B30" s="80"/>
      <c r="C30" s="223" t="s">
        <v>161</v>
      </c>
      <c r="D30" s="223"/>
      <c r="E30" s="223" t="s">
        <v>210</v>
      </c>
      <c r="F30" s="223"/>
      <c r="G30" s="223"/>
      <c r="H30" s="88" t="s">
        <v>211</v>
      </c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 t="s">
        <v>212</v>
      </c>
      <c r="AL30" s="103"/>
    </row>
    <row r="31" spans="1:38" ht="21.75" customHeight="1">
      <c r="A31" s="68"/>
      <c r="B31" s="85"/>
      <c r="C31" s="224" t="s">
        <v>213</v>
      </c>
      <c r="D31" s="86"/>
      <c r="E31" s="265" t="s">
        <v>214</v>
      </c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7"/>
    </row>
    <row r="32" spans="1:38" ht="21.75" customHeight="1">
      <c r="A32" s="68"/>
      <c r="B32" s="77"/>
      <c r="C32" s="221" t="s">
        <v>215</v>
      </c>
      <c r="D32" s="78"/>
      <c r="E32" s="89"/>
      <c r="F32" s="89" t="s">
        <v>216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96"/>
      <c r="U32" s="97"/>
      <c r="V32" s="221" t="s">
        <v>217</v>
      </c>
      <c r="W32" s="89"/>
      <c r="X32" s="89"/>
      <c r="Y32" s="89"/>
      <c r="Z32" s="89" t="s">
        <v>218</v>
      </c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105"/>
    </row>
    <row r="33" spans="1:38" ht="21.75" customHeight="1">
      <c r="A33" s="68"/>
      <c r="B33" s="82"/>
      <c r="C33" s="90" t="s">
        <v>215</v>
      </c>
      <c r="D33" s="222"/>
      <c r="E33" s="91"/>
      <c r="F33" s="91" t="s">
        <v>219</v>
      </c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8"/>
      <c r="U33" s="99"/>
      <c r="V33" s="90" t="s">
        <v>217</v>
      </c>
      <c r="W33" s="91"/>
      <c r="X33" s="91"/>
      <c r="Y33" s="91"/>
      <c r="Z33" s="91" t="s">
        <v>220</v>
      </c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106"/>
    </row>
    <row r="34" spans="1:38" ht="21.75" customHeight="1">
      <c r="A34" s="68"/>
      <c r="B34" s="82"/>
      <c r="C34" s="90" t="s">
        <v>215</v>
      </c>
      <c r="D34" s="222"/>
      <c r="E34" s="91"/>
      <c r="F34" s="91" t="s">
        <v>221</v>
      </c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8"/>
      <c r="U34" s="99"/>
      <c r="V34" s="90" t="s">
        <v>217</v>
      </c>
      <c r="W34" s="91"/>
      <c r="X34" s="91"/>
      <c r="Y34" s="91"/>
      <c r="Z34" s="91" t="s">
        <v>222</v>
      </c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106"/>
    </row>
    <row r="35" spans="1:38" ht="21.75" customHeight="1">
      <c r="A35" s="68"/>
      <c r="B35" s="76"/>
      <c r="C35" s="92" t="s">
        <v>215</v>
      </c>
      <c r="D35" s="220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100"/>
      <c r="U35" s="101"/>
      <c r="V35" s="92" t="s">
        <v>217</v>
      </c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107"/>
    </row>
    <row r="36" spans="1:38" ht="14.2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</row>
    <row r="37" spans="1:38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 t="s">
        <v>223</v>
      </c>
      <c r="AI37" s="36"/>
      <c r="AJ37" s="36"/>
      <c r="AK37" s="36"/>
      <c r="AL37" s="36"/>
    </row>
    <row r="38" spans="1:38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spans="1:38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</row>
    <row r="44" spans="1:38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</row>
    <row r="45" spans="1:38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</row>
    <row r="46" spans="1:38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7" spans="1:38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</row>
    <row r="48" spans="1:3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</row>
    <row r="49" spans="1:38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</row>
    <row r="50" spans="1:38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</row>
    <row r="51" spans="1:38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</row>
    <row r="52" spans="1:38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</row>
    <row r="53" spans="1:38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</row>
    <row r="54" spans="1:38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</row>
    <row r="55" spans="1:38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</row>
    <row r="56" spans="1:38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</row>
    <row r="57" spans="1:38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</row>
    <row r="58" spans="1:3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</row>
    <row r="59" spans="1:38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</row>
    <row r="60" spans="1:38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</row>
    <row r="61" spans="1:38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</row>
    <row r="62" spans="1:38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</row>
    <row r="63" spans="1:38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</row>
    <row r="64" spans="1:38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</row>
    <row r="65" spans="1:38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</row>
    <row r="66" spans="1:38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</row>
    <row r="67" spans="1:38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</row>
    <row r="68" spans="1:3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</row>
    <row r="69" spans="1:38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</row>
    <row r="70" spans="1:38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</row>
    <row r="71" spans="1:38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</row>
    <row r="72" spans="1:38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</row>
    <row r="73" spans="1:38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</row>
    <row r="74" spans="1:38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</row>
    <row r="75" spans="1:38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</row>
    <row r="76" spans="1:38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</row>
    <row r="77" spans="1:38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</row>
    <row r="78" spans="1:3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</row>
    <row r="79" spans="1:38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</row>
    <row r="80" spans="1:38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</row>
    <row r="81" spans="1:38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</row>
    <row r="82" spans="1:38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</row>
    <row r="83" spans="1:38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</row>
    <row r="84" spans="1:38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</row>
    <row r="85" spans="1:38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</row>
    <row r="86" spans="1:38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</row>
    <row r="87" spans="1:38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</row>
    <row r="88" spans="1:3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</row>
    <row r="89" spans="1:38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</row>
    <row r="90" spans="1:38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</row>
    <row r="91" spans="1:38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</row>
    <row r="92" spans="1:38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</row>
    <row r="93" spans="1:38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</row>
    <row r="94" spans="1:38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</row>
    <row r="95" spans="1:38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</row>
    <row r="96" spans="1:38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</row>
    <row r="97" spans="1:38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</row>
    <row r="98" spans="1:3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</row>
    <row r="99" spans="1:38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</row>
    <row r="100" spans="1:38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</row>
    <row r="101" spans="1:38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</row>
    <row r="102" spans="1:38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</row>
    <row r="103" spans="1:38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</row>
    <row r="104" spans="1:38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</row>
    <row r="105" spans="1:38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</row>
    <row r="106" spans="1:38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</row>
    <row r="107" spans="1:38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</row>
    <row r="108" spans="1:3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</row>
    <row r="109" spans="1:38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</row>
    <row r="110" spans="1:38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</row>
    <row r="111" spans="1:38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</row>
    <row r="112" spans="1:38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</row>
    <row r="113" spans="1:38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</row>
    <row r="114" spans="1:38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</row>
    <row r="115" spans="1:38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</row>
    <row r="116" spans="1:38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</row>
    <row r="117" spans="1:38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</row>
    <row r="118" spans="1:3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</row>
    <row r="119" spans="1:38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</row>
    <row r="120" spans="1:38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</row>
    <row r="121" spans="1:38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</row>
    <row r="122" spans="1:38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</row>
    <row r="123" spans="1:38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</row>
    <row r="124" spans="1:38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</row>
    <row r="125" spans="1:38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</row>
    <row r="126" spans="1:38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</row>
    <row r="127" spans="1:38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</row>
    <row r="128" spans="1:3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</row>
    <row r="129" spans="1:38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</row>
    <row r="130" spans="1:38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</row>
    <row r="131" spans="1:38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</row>
    <row r="132" spans="1:38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</row>
    <row r="133" spans="1:38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</row>
    <row r="134" spans="1:38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</row>
    <row r="135" spans="1:38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</row>
    <row r="136" spans="1:38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</row>
    <row r="137" spans="1:38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</row>
    <row r="138" spans="1: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</row>
    <row r="139" spans="1:38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</row>
    <row r="140" spans="1:38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</row>
    <row r="141" spans="1:38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</row>
    <row r="142" spans="1:38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</row>
    <row r="143" spans="1:38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</row>
    <row r="144" spans="1:38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</row>
    <row r="145" spans="1:38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</row>
    <row r="146" spans="1:38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</row>
    <row r="147" spans="1:38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</row>
    <row r="148" spans="1:3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</row>
    <row r="149" spans="1:38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</row>
    <row r="150" spans="1:38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</row>
    <row r="151" spans="1:38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</row>
    <row r="152" spans="1:38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</row>
    <row r="153" spans="1:38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</row>
    <row r="154" spans="1:38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</row>
    <row r="155" spans="1:38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</row>
    <row r="156" spans="1:38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</row>
    <row r="157" spans="1:38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</row>
    <row r="158" spans="1:3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</row>
    <row r="159" spans="1:38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</row>
    <row r="160" spans="1:38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</row>
    <row r="161" spans="1:38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</row>
    <row r="162" spans="1:38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</row>
    <row r="163" spans="1:38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</row>
    <row r="164" spans="1:38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</row>
    <row r="165" spans="1:38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</row>
    <row r="166" spans="1:38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</row>
    <row r="167" spans="1:38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</row>
    <row r="168" spans="1:3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</row>
    <row r="169" spans="1:38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</row>
    <row r="170" spans="1:38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</row>
    <row r="171" spans="1:38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</row>
    <row r="172" spans="1:38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</row>
    <row r="173" spans="1:38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</row>
    <row r="174" spans="1:38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</row>
    <row r="175" spans="1:38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</row>
    <row r="176" spans="1:38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</row>
    <row r="177" spans="1:38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</row>
    <row r="178" spans="1:3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</row>
    <row r="179" spans="1:38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</row>
    <row r="180" spans="1:38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</row>
    <row r="181" spans="1:38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</row>
    <row r="182" spans="1:38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</row>
    <row r="183" spans="1:38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</row>
    <row r="184" spans="1:38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</row>
    <row r="185" spans="1:38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</row>
    <row r="186" spans="1:38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</row>
    <row r="187" spans="1:38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</row>
    <row r="188" spans="1:3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</row>
    <row r="189" spans="1:38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</row>
    <row r="190" spans="1:38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</row>
    <row r="191" spans="1:38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</row>
    <row r="192" spans="1:38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</row>
    <row r="193" spans="1:38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</row>
    <row r="194" spans="1:38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</row>
    <row r="195" spans="1:38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</row>
    <row r="196" spans="1:38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</row>
    <row r="197" spans="1:38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</row>
    <row r="198" spans="1:3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</row>
    <row r="199" spans="1:38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</row>
    <row r="200" spans="1:38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</row>
    <row r="201" spans="1:38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</row>
    <row r="202" spans="1:38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</row>
    <row r="203" spans="1:38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</row>
    <row r="204" spans="1:38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</row>
    <row r="205" spans="1:38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</row>
    <row r="206" spans="1:38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</row>
    <row r="207" spans="1:38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</row>
    <row r="208" spans="1:3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</row>
    <row r="209" spans="1:38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</row>
    <row r="210" spans="1:38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</row>
    <row r="211" spans="1:38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</row>
    <row r="212" spans="1:38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</row>
    <row r="213" spans="1:38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</row>
    <row r="214" spans="1:38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</row>
    <row r="215" spans="1:38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</row>
    <row r="216" spans="1:38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</row>
    <row r="217" spans="1:38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</row>
    <row r="218" spans="1:3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</row>
    <row r="219" spans="1:38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</row>
    <row r="220" spans="1:38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</row>
    <row r="221" spans="1:38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</row>
    <row r="222" spans="1:38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</row>
    <row r="223" spans="1:38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</row>
    <row r="224" spans="1:38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</row>
    <row r="225" spans="1:38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</row>
    <row r="226" spans="1:38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</row>
    <row r="227" spans="1:38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</row>
    <row r="228" spans="1:3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</row>
    <row r="229" spans="1:38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</row>
    <row r="230" spans="1:38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</row>
    <row r="231" spans="1:38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</row>
    <row r="232" spans="1:38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</row>
    <row r="233" spans="1:38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</row>
    <row r="234" spans="1:38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</row>
    <row r="235" spans="1:38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</row>
    <row r="236" spans="1:38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</row>
    <row r="237" spans="1:38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</row>
    <row r="238" spans="1:38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</row>
    <row r="239" spans="1:38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</row>
    <row r="240" spans="1:38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</row>
    <row r="241" spans="1:38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</row>
    <row r="242" spans="1:38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</row>
    <row r="243" spans="1:38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</row>
    <row r="244" spans="1:38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</row>
    <row r="245" spans="1:38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</row>
    <row r="246" spans="1:38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</row>
    <row r="247" spans="1:38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</row>
    <row r="248" spans="1:38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</row>
    <row r="249" spans="1:38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</row>
    <row r="250" spans="1:38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</row>
    <row r="251" spans="1:38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</row>
    <row r="252" spans="1:38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</row>
    <row r="253" spans="1:38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</row>
    <row r="254" spans="1:38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</row>
    <row r="255" spans="1:38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</row>
    <row r="256" spans="1:38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</row>
    <row r="257" spans="1:38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</row>
    <row r="258" spans="1:38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</row>
    <row r="259" spans="1:38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</row>
    <row r="260" spans="1:38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</row>
    <row r="261" spans="1:38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</row>
    <row r="262" spans="1:38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</row>
    <row r="263" spans="1:38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</row>
    <row r="264" spans="1:38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</row>
    <row r="265" spans="1:38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</row>
    <row r="266" spans="1:38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</row>
    <row r="267" spans="1:38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</row>
    <row r="268" spans="1:38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</row>
    <row r="269" spans="1:38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</row>
    <row r="270" spans="1:38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</row>
    <row r="271" spans="1:38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</row>
    <row r="272" spans="1:38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</row>
    <row r="273" spans="1:38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</row>
    <row r="274" spans="1:38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</row>
    <row r="275" spans="1:38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</row>
    <row r="276" spans="1:38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</row>
    <row r="277" spans="1:38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</row>
    <row r="278" spans="1:38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</row>
    <row r="279" spans="1:38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</row>
    <row r="280" spans="1:38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</row>
    <row r="281" spans="1:38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</row>
    <row r="282" spans="1:38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</row>
    <row r="283" spans="1:38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</row>
    <row r="284" spans="1:38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</row>
    <row r="285" spans="1:38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</row>
    <row r="286" spans="1:38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</row>
    <row r="287" spans="1:38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</row>
    <row r="288" spans="1:38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</row>
    <row r="289" spans="1:38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</row>
    <row r="290" spans="1:38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</row>
    <row r="291" spans="1:38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</row>
    <row r="292" spans="1:38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</row>
    <row r="293" spans="1:38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</row>
    <row r="294" spans="1:38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</row>
    <row r="295" spans="1:38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</row>
    <row r="296" spans="1:38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</row>
    <row r="297" spans="1:38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</row>
    <row r="298" spans="1:38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</row>
    <row r="299" spans="1:38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</row>
    <row r="300" spans="1:38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</row>
    <row r="301" spans="1:38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</row>
    <row r="302" spans="1:38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</row>
    <row r="303" spans="1:38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</row>
    <row r="304" spans="1:38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</row>
    <row r="305" spans="1:38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</row>
    <row r="306" spans="1:38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</row>
    <row r="307" spans="1:38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</row>
    <row r="308" spans="1:38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</row>
    <row r="309" spans="1:38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</row>
    <row r="310" spans="1:38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</row>
    <row r="311" spans="1:38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</row>
    <row r="312" spans="1:38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</row>
    <row r="313" spans="1:38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</row>
    <row r="314" spans="1:38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</row>
    <row r="315" spans="1:38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</row>
    <row r="316" spans="1:38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</row>
    <row r="317" spans="1:38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</row>
    <row r="318" spans="1:38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</row>
    <row r="319" spans="1:38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</row>
    <row r="320" spans="1:38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</row>
    <row r="321" spans="1:38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</row>
    <row r="322" spans="1:38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</row>
    <row r="323" spans="1:38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</row>
    <row r="324" spans="1:38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</row>
    <row r="325" spans="1:38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</row>
    <row r="326" spans="1:38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</row>
    <row r="327" spans="1:38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</row>
    <row r="328" spans="1:38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</row>
    <row r="329" spans="1:38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</row>
    <row r="330" spans="1:38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</row>
    <row r="331" spans="1:38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</row>
    <row r="332" spans="1:38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</row>
    <row r="333" spans="1:38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</row>
    <row r="334" spans="1:38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</row>
    <row r="335" spans="1:38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</row>
    <row r="336" spans="1:38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</row>
    <row r="337" spans="1:38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</row>
    <row r="338" spans="1:38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</row>
    <row r="339" spans="1:38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</row>
    <row r="340" spans="1:38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</row>
    <row r="341" spans="1:38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</row>
    <row r="342" spans="1:38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</row>
    <row r="343" spans="1:38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</row>
    <row r="344" spans="1:38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</row>
    <row r="345" spans="1:38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</row>
    <row r="346" spans="1:38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</row>
    <row r="347" spans="1:38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</row>
    <row r="348" spans="1:38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</row>
    <row r="349" spans="1:38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</row>
    <row r="350" spans="1:38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</row>
    <row r="351" spans="1:38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</row>
    <row r="352" spans="1:38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</row>
    <row r="353" spans="1:38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</row>
    <row r="354" spans="1:38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</row>
    <row r="355" spans="1:38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</row>
    <row r="356" spans="1:38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</row>
    <row r="357" spans="1:38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</row>
    <row r="358" spans="1:38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</row>
    <row r="359" spans="1:38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</row>
    <row r="360" spans="1:38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</row>
    <row r="361" spans="1:38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</row>
    <row r="362" spans="1:38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</row>
    <row r="363" spans="1:38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</row>
    <row r="364" spans="1:38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</row>
    <row r="365" spans="1:38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</row>
    <row r="366" spans="1:38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</row>
    <row r="367" spans="1:38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</row>
    <row r="368" spans="1:38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</row>
    <row r="369" spans="1:38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</row>
    <row r="370" spans="1:38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</row>
    <row r="371" spans="1:38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</row>
    <row r="372" spans="1:38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</row>
    <row r="373" spans="1:38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</row>
    <row r="374" spans="1:38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</row>
    <row r="375" spans="1:38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</row>
    <row r="376" spans="1:38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</row>
    <row r="377" spans="1:38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</row>
    <row r="378" spans="1:38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</row>
    <row r="379" spans="1:38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</row>
    <row r="380" spans="1:38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</row>
    <row r="381" spans="1:38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</row>
    <row r="382" spans="1:38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</row>
    <row r="383" spans="1:38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</row>
    <row r="384" spans="1:38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</row>
    <row r="385" spans="1:38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</row>
    <row r="386" spans="1:38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</row>
    <row r="387" spans="1:38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</row>
    <row r="388" spans="1:38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</row>
    <row r="389" spans="1:38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</row>
    <row r="390" spans="1:38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</row>
    <row r="391" spans="1:38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</row>
    <row r="392" spans="1:38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</row>
    <row r="393" spans="1:38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</row>
    <row r="394" spans="1:38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</row>
    <row r="395" spans="1:38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</row>
    <row r="396" spans="1:38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</row>
    <row r="397" spans="1:38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</row>
    <row r="398" spans="1:38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</row>
    <row r="399" spans="1:38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</row>
    <row r="400" spans="1:38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</row>
    <row r="401" spans="1:38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</row>
    <row r="402" spans="1:38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</row>
    <row r="403" spans="1:38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</row>
    <row r="404" spans="1:38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</row>
    <row r="405" spans="1:38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</row>
    <row r="406" spans="1:38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</row>
    <row r="407" spans="1:38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</row>
    <row r="408" spans="1:38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</row>
    <row r="409" spans="1:38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</row>
    <row r="410" spans="1:38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</row>
    <row r="411" spans="1:38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</row>
    <row r="412" spans="1:38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</row>
    <row r="413" spans="1:38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</row>
    <row r="414" spans="1:38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</row>
    <row r="415" spans="1:38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</row>
    <row r="416" spans="1:38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</row>
    <row r="417" spans="1:38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</row>
    <row r="418" spans="1:38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</row>
    <row r="419" spans="1:38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</row>
    <row r="420" spans="1:38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</row>
    <row r="421" spans="1:38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</row>
    <row r="422" spans="1:38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</row>
    <row r="423" spans="1:38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</row>
    <row r="424" spans="1:38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</row>
    <row r="425" spans="1:38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</row>
    <row r="426" spans="1:38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</row>
    <row r="427" spans="1:38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</row>
    <row r="428" spans="1:38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</row>
    <row r="429" spans="1:38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</row>
    <row r="430" spans="1:38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</row>
    <row r="431" spans="1:38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</row>
    <row r="432" spans="1:38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</row>
    <row r="433" spans="1:38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</row>
    <row r="434" spans="1:38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</row>
    <row r="435" spans="1:38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</row>
    <row r="436" spans="1:38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</row>
    <row r="437" spans="1:38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</row>
    <row r="438" spans="1:38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</row>
    <row r="439" spans="1:38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</row>
    <row r="440" spans="1:38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</row>
    <row r="441" spans="1:38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</row>
    <row r="442" spans="1:38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</row>
    <row r="443" spans="1:38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</row>
    <row r="444" spans="1:38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</row>
    <row r="445" spans="1:38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</row>
    <row r="446" spans="1:38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</row>
    <row r="447" spans="1:38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</row>
    <row r="448" spans="1:38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</row>
    <row r="449" spans="1:38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</row>
    <row r="450" spans="1:38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</row>
    <row r="451" spans="1:38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</row>
    <row r="452" spans="1:38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</row>
    <row r="453" spans="1:38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</row>
    <row r="454" spans="1:38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</row>
    <row r="455" spans="1:38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</row>
    <row r="456" spans="1:38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</row>
    <row r="457" spans="1:38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</row>
    <row r="458" spans="1:38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</row>
    <row r="459" spans="1:38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</row>
    <row r="460" spans="1:38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</row>
    <row r="461" spans="1:38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</row>
    <row r="462" spans="1:38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</row>
    <row r="463" spans="1:38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</row>
    <row r="464" spans="1:38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</row>
    <row r="465" spans="1:38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</row>
    <row r="466" spans="1:38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</row>
    <row r="467" spans="1:38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</row>
    <row r="468" spans="1:38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</row>
    <row r="469" spans="1:38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</row>
    <row r="470" spans="1:38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</row>
    <row r="471" spans="1:38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</row>
    <row r="472" spans="1:38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</row>
    <row r="473" spans="1:38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</row>
    <row r="474" spans="1:38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</row>
    <row r="475" spans="1:38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</row>
    <row r="476" spans="1:38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</row>
    <row r="477" spans="1:38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</row>
    <row r="478" spans="1:38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</row>
    <row r="479" spans="1:38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</row>
    <row r="480" spans="1:38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</row>
    <row r="481" spans="1:38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</row>
    <row r="482" spans="1:38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</row>
    <row r="483" spans="1:38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</row>
    <row r="484" spans="1:38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</row>
    <row r="485" spans="1:38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</row>
    <row r="486" spans="1:38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</row>
    <row r="487" spans="1:38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</row>
    <row r="488" spans="1:38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</row>
    <row r="489" spans="1:38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</row>
    <row r="490" spans="1:38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</row>
    <row r="491" spans="1:38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</row>
    <row r="492" spans="1:38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</row>
    <row r="493" spans="1:38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</row>
    <row r="494" spans="1:38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</row>
    <row r="495" spans="1:38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</row>
    <row r="496" spans="1:38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</row>
    <row r="497" spans="1:38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</row>
    <row r="498" spans="1:38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</row>
    <row r="499" spans="1:38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</row>
    <row r="500" spans="1:38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</row>
    <row r="501" spans="1:38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</row>
    <row r="502" spans="1:38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</row>
    <row r="503" spans="1:38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</row>
    <row r="504" spans="1:38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</row>
    <row r="505" spans="1:38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</row>
    <row r="506" spans="1:38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</row>
    <row r="507" spans="1:38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</row>
    <row r="508" spans="1:38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</row>
    <row r="509" spans="1:38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</row>
    <row r="510" spans="1:38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</row>
    <row r="511" spans="1:38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</row>
    <row r="512" spans="1:38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</row>
    <row r="513" spans="1:38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</row>
    <row r="514" spans="1:38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</row>
    <row r="515" spans="1:38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</row>
    <row r="516" spans="1:38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</row>
    <row r="517" spans="1:38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</row>
    <row r="518" spans="1:38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</row>
    <row r="519" spans="1:38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</row>
    <row r="520" spans="1:38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</row>
    <row r="521" spans="1:38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</row>
    <row r="522" spans="1:38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</row>
    <row r="523" spans="1:38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</row>
    <row r="524" spans="1:38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</row>
    <row r="525" spans="1:38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</row>
    <row r="526" spans="1:38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</row>
    <row r="527" spans="1:38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</row>
    <row r="528" spans="1:38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</row>
    <row r="529" spans="1:38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</row>
    <row r="530" spans="1:38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</row>
    <row r="531" spans="1:38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</row>
    <row r="532" spans="1:38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</row>
    <row r="533" spans="1:38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</row>
    <row r="534" spans="1:38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</row>
    <row r="535" spans="1:38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</row>
    <row r="536" spans="1:38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</row>
    <row r="537" spans="1:38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</row>
    <row r="538" spans="1:38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</row>
    <row r="539" spans="1:38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</row>
    <row r="540" spans="1:38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</row>
    <row r="541" spans="1:38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</row>
    <row r="542" spans="1:38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</row>
    <row r="543" spans="1:38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</row>
    <row r="544" spans="1:38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</row>
    <row r="545" spans="1:38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</row>
    <row r="546" spans="1:38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</row>
    <row r="547" spans="1:38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</row>
    <row r="548" spans="1:38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</row>
    <row r="549" spans="1:38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</row>
    <row r="550" spans="1:38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</row>
    <row r="551" spans="1:38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</row>
    <row r="552" spans="1:38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</row>
    <row r="553" spans="1:38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</row>
    <row r="554" spans="1:38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</row>
    <row r="555" spans="1:38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</row>
    <row r="556" spans="1:38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</row>
    <row r="557" spans="1:38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</row>
    <row r="558" spans="1:38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</row>
    <row r="559" spans="1:38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</row>
    <row r="560" spans="1:38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</row>
    <row r="561" spans="1:38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</row>
    <row r="562" spans="1:38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</row>
    <row r="563" spans="1:38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</row>
    <row r="564" spans="1:38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</row>
    <row r="565" spans="1:38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</row>
    <row r="566" spans="1:38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</row>
    <row r="567" spans="1:38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</row>
    <row r="568" spans="1:38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</row>
    <row r="569" spans="1:38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</row>
    <row r="570" spans="1:38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</row>
    <row r="571" spans="1:38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</row>
    <row r="572" spans="1:38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</row>
    <row r="573" spans="1:38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</row>
    <row r="574" spans="1:38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</row>
    <row r="575" spans="1:38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</row>
    <row r="576" spans="1:38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</row>
    <row r="577" spans="1:38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</row>
    <row r="578" spans="1:38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</row>
    <row r="579" spans="1:38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</row>
    <row r="580" spans="1:38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</row>
    <row r="581" spans="1:38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</row>
    <row r="582" spans="1:38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</row>
    <row r="583" spans="1:38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</row>
    <row r="584" spans="1:38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</row>
    <row r="585" spans="1:38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</row>
    <row r="586" spans="1:38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</row>
    <row r="587" spans="1:38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</row>
    <row r="588" spans="1:38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</row>
    <row r="589" spans="1:38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</row>
    <row r="590" spans="1:38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</row>
    <row r="591" spans="1:38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</row>
    <row r="592" spans="1:38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</row>
    <row r="593" spans="1:38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</row>
    <row r="594" spans="1:38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</row>
    <row r="595" spans="1:38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</row>
    <row r="596" spans="1:38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</row>
    <row r="597" spans="1:38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</row>
    <row r="598" spans="1:38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</row>
    <row r="599" spans="1:38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</row>
    <row r="600" spans="1:38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</row>
    <row r="601" spans="1:38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</row>
    <row r="602" spans="1:38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</row>
    <row r="603" spans="1:38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</row>
    <row r="604" spans="1:38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</row>
    <row r="605" spans="1:38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</row>
    <row r="606" spans="1:38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</row>
    <row r="607" spans="1:38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</row>
    <row r="608" spans="1:38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</row>
    <row r="609" spans="1:38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</row>
    <row r="610" spans="1:38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</row>
    <row r="611" spans="1:38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</row>
    <row r="612" spans="1:38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</row>
    <row r="613" spans="1:38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</row>
    <row r="614" spans="1:38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</row>
    <row r="615" spans="1:38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</row>
    <row r="616" spans="1:38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</row>
    <row r="617" spans="1:38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</row>
    <row r="618" spans="1:38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</row>
    <row r="619" spans="1:38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</row>
    <row r="620" spans="1:38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</row>
    <row r="621" spans="1:38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</row>
    <row r="622" spans="1:38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</row>
    <row r="623" spans="1:38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</row>
    <row r="624" spans="1:38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</row>
    <row r="625" spans="1:38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</row>
    <row r="626" spans="1:38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</row>
    <row r="627" spans="1:38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</row>
    <row r="628" spans="1:38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</row>
    <row r="629" spans="1:38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</row>
    <row r="630" spans="1:38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</row>
    <row r="631" spans="1:38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</row>
    <row r="632" spans="1:38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</row>
    <row r="633" spans="1:38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</row>
    <row r="634" spans="1:38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</row>
    <row r="635" spans="1:38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</row>
    <row r="636" spans="1:38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</row>
    <row r="637" spans="1:38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</row>
    <row r="638" spans="1:38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</row>
    <row r="639" spans="1:38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</row>
    <row r="640" spans="1:38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</row>
    <row r="641" spans="1:38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</row>
    <row r="642" spans="1:38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</row>
    <row r="643" spans="1:38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</row>
    <row r="644" spans="1:38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</row>
    <row r="645" spans="1:38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</row>
    <row r="646" spans="1:38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</row>
    <row r="647" spans="1:38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</row>
    <row r="648" spans="1:38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</row>
    <row r="649" spans="1:38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</row>
    <row r="650" spans="1:38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</row>
    <row r="651" spans="1:38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</row>
    <row r="652" spans="1:38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</row>
    <row r="653" spans="1:38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</row>
    <row r="654" spans="1:38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</row>
    <row r="655" spans="1:38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</row>
    <row r="656" spans="1:38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</row>
    <row r="657" spans="1:38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</row>
    <row r="658" spans="1:38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</row>
    <row r="659" spans="1:38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</row>
    <row r="660" spans="1:38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</row>
    <row r="661" spans="1:38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</row>
    <row r="662" spans="1:38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</row>
    <row r="663" spans="1:38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</row>
    <row r="664" spans="1:38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</row>
    <row r="665" spans="1:38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</row>
    <row r="666" spans="1:38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</row>
    <row r="667" spans="1:38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</row>
    <row r="668" spans="1:38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</row>
    <row r="669" spans="1:38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</row>
    <row r="670" spans="1:38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</row>
    <row r="671" spans="1:38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</row>
    <row r="672" spans="1:38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</row>
    <row r="673" spans="1:38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</row>
    <row r="674" spans="1:38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</row>
    <row r="675" spans="1:38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</row>
    <row r="676" spans="1:38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</row>
    <row r="677" spans="1:38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</row>
    <row r="678" spans="1:38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</row>
    <row r="679" spans="1:38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</row>
    <row r="680" spans="1:38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</row>
    <row r="681" spans="1:38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</row>
    <row r="682" spans="1:38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</row>
    <row r="683" spans="1:38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</row>
    <row r="684" spans="1:38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</row>
    <row r="685" spans="1:38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</row>
    <row r="686" spans="1:38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</row>
    <row r="687" spans="1:38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</row>
    <row r="688" spans="1:38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</row>
    <row r="689" spans="1:38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</row>
    <row r="690" spans="1:38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</row>
    <row r="691" spans="1:38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</row>
    <row r="692" spans="1:38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</row>
    <row r="693" spans="1:38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</row>
    <row r="694" spans="1:38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</row>
    <row r="695" spans="1:38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</row>
    <row r="696" spans="1:38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</row>
    <row r="697" spans="1:38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</row>
    <row r="698" spans="1:38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</row>
    <row r="699" spans="1:38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</row>
    <row r="700" spans="1:38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</row>
    <row r="701" spans="1:38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</row>
    <row r="702" spans="1:38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</row>
    <row r="703" spans="1:38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</row>
    <row r="704" spans="1:38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</row>
    <row r="705" spans="1:38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</row>
    <row r="706" spans="1:38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</row>
    <row r="707" spans="1:38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</row>
    <row r="708" spans="1:38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</row>
    <row r="709" spans="1:38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</row>
    <row r="710" spans="1:38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</row>
    <row r="711" spans="1:38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</row>
    <row r="712" spans="1:38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</row>
    <row r="713" spans="1:38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</row>
    <row r="714" spans="1:38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</row>
    <row r="715" spans="1:38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</row>
    <row r="716" spans="1:38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</row>
    <row r="717" spans="1:38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</row>
    <row r="718" spans="1:38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</row>
    <row r="719" spans="1:38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</row>
    <row r="720" spans="1:38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</row>
    <row r="721" spans="1:38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</row>
    <row r="722" spans="1:38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</row>
    <row r="723" spans="1:38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</row>
    <row r="724" spans="1:38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</row>
    <row r="725" spans="1:38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</row>
    <row r="726" spans="1:38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</row>
    <row r="727" spans="1:38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</row>
    <row r="728" spans="1:38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</row>
    <row r="729" spans="1:38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</row>
    <row r="730" spans="1:38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</row>
    <row r="731" spans="1:38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</row>
    <row r="732" spans="1:38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</row>
    <row r="733" spans="1:38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</row>
    <row r="734" spans="1:38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</row>
    <row r="735" spans="1:38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</row>
    <row r="736" spans="1:38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</row>
    <row r="737" spans="1:38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</row>
    <row r="738" spans="1:38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</row>
    <row r="739" spans="1:38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</row>
    <row r="740" spans="1:38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</row>
    <row r="741" spans="1:38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</row>
    <row r="742" spans="1:38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</row>
    <row r="743" spans="1:38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</row>
    <row r="744" spans="1:38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</row>
    <row r="745" spans="1:38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</row>
    <row r="746" spans="1:38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</row>
    <row r="747" spans="1:38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</row>
    <row r="748" spans="1:38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</row>
    <row r="749" spans="1:38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</row>
    <row r="750" spans="1:38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</row>
    <row r="751" spans="1:38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</row>
    <row r="752" spans="1:38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</row>
    <row r="753" spans="1:38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</row>
    <row r="754" spans="1:38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</row>
    <row r="755" spans="1:38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</row>
    <row r="756" spans="1:38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</row>
    <row r="757" spans="1:38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</row>
    <row r="758" spans="1:38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</row>
    <row r="759" spans="1:38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</row>
    <row r="760" spans="1:38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</row>
    <row r="761" spans="1:38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</row>
    <row r="762" spans="1:38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</row>
    <row r="763" spans="1:38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</row>
    <row r="764" spans="1:38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</row>
    <row r="765" spans="1:38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</row>
    <row r="766" spans="1:38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</row>
    <row r="767" spans="1:38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</row>
    <row r="768" spans="1:38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</row>
    <row r="769" spans="1:38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</row>
    <row r="770" spans="1:38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</row>
    <row r="771" spans="1:38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</row>
    <row r="772" spans="1:38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</row>
    <row r="773" spans="1:38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</row>
    <row r="774" spans="1:38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</row>
    <row r="775" spans="1:38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</row>
    <row r="776" spans="1:38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</row>
    <row r="777" spans="1:38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</row>
    <row r="778" spans="1:38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</row>
    <row r="779" spans="1:38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</row>
    <row r="780" spans="1:38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</row>
    <row r="781" spans="1:38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</row>
    <row r="782" spans="1:38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</row>
    <row r="783" spans="1:38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</row>
    <row r="784" spans="1:38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</row>
    <row r="785" spans="1:38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</row>
    <row r="786" spans="1:38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</row>
    <row r="787" spans="1:38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</row>
    <row r="788" spans="1:38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</row>
    <row r="789" spans="1:38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</row>
    <row r="790" spans="1:38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</row>
    <row r="791" spans="1:38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</row>
    <row r="792" spans="1:38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</row>
    <row r="793" spans="1:38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</row>
    <row r="794" spans="1:38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</row>
    <row r="795" spans="1:38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</row>
    <row r="796" spans="1:38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</row>
    <row r="797" spans="1:38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</row>
    <row r="798" spans="1:38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</row>
    <row r="799" spans="1:38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</row>
    <row r="800" spans="1:38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</row>
    <row r="801" spans="1:38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</row>
    <row r="802" spans="1:38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</row>
    <row r="803" spans="1:38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</row>
    <row r="804" spans="1:38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</row>
    <row r="805" spans="1:38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</row>
    <row r="806" spans="1:38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</row>
    <row r="807" spans="1:38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</row>
    <row r="808" spans="1:38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</row>
    <row r="809" spans="1:38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</row>
    <row r="810" spans="1:38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</row>
    <row r="811" spans="1:38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</row>
    <row r="812" spans="1:38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</row>
    <row r="813" spans="1:38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</row>
    <row r="814" spans="1:38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</row>
    <row r="815" spans="1:38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</row>
    <row r="816" spans="1:38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</row>
    <row r="817" spans="1:38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</row>
    <row r="818" spans="1:38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</row>
    <row r="819" spans="1:38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</row>
    <row r="820" spans="1:38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</row>
    <row r="821" spans="1:38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</row>
    <row r="822" spans="1:38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</row>
    <row r="823" spans="1:38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</row>
    <row r="824" spans="1:38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</row>
    <row r="825" spans="1:38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</row>
    <row r="826" spans="1:38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</row>
    <row r="827" spans="1:38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</row>
    <row r="828" spans="1:38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</row>
    <row r="829" spans="1:38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</row>
    <row r="830" spans="1:38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</row>
    <row r="831" spans="1:38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</row>
    <row r="832" spans="1:38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</row>
    <row r="833" spans="1:38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</row>
    <row r="834" spans="1:38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</row>
    <row r="835" spans="1:38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</row>
    <row r="836" spans="1:38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</row>
    <row r="837" spans="1:38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</row>
    <row r="838" spans="1:38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</row>
    <row r="839" spans="1:38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</row>
    <row r="840" spans="1:38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</row>
    <row r="841" spans="1:38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</row>
    <row r="842" spans="1:38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</row>
    <row r="843" spans="1:38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</row>
    <row r="844" spans="1:38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</row>
    <row r="845" spans="1:38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</row>
    <row r="846" spans="1:38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</row>
    <row r="847" spans="1:38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</row>
    <row r="848" spans="1:38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</row>
    <row r="849" spans="1:38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</row>
    <row r="850" spans="1:38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</row>
    <row r="851" spans="1:38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</row>
    <row r="852" spans="1:38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</row>
    <row r="853" spans="1:38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</row>
    <row r="854" spans="1:38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</row>
    <row r="855" spans="1:38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</row>
    <row r="856" spans="1:38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</row>
    <row r="857" spans="1:38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</row>
    <row r="858" spans="1:38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</row>
    <row r="859" spans="1:38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</row>
    <row r="860" spans="1:38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</row>
    <row r="861" spans="1:38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</row>
    <row r="862" spans="1:38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</row>
    <row r="863" spans="1:38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</row>
    <row r="864" spans="1:38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</row>
    <row r="865" spans="1:38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</row>
    <row r="866" spans="1:38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</row>
    <row r="867" spans="1:38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</row>
    <row r="868" spans="1:38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</row>
    <row r="869" spans="1:38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</row>
    <row r="870" spans="1:38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</row>
    <row r="871" spans="1:38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</row>
    <row r="872" spans="1:38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</row>
    <row r="873" spans="1:38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</row>
    <row r="874" spans="1:38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</row>
    <row r="875" spans="1:38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</row>
    <row r="876" spans="1:38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</row>
    <row r="877" spans="1:38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</row>
    <row r="878" spans="1:3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</row>
    <row r="879" spans="1:38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</row>
    <row r="880" spans="1:38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</row>
    <row r="881" spans="1:38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</row>
    <row r="882" spans="1:38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</row>
    <row r="883" spans="1:38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</row>
    <row r="884" spans="1:38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</row>
    <row r="885" spans="1:38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</row>
    <row r="886" spans="1:38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</row>
    <row r="887" spans="1:38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</row>
    <row r="888" spans="1:3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</row>
    <row r="889" spans="1:38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</row>
    <row r="890" spans="1:38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</row>
    <row r="891" spans="1:38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</row>
    <row r="892" spans="1:38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</row>
    <row r="893" spans="1:38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</row>
    <row r="894" spans="1:38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</row>
    <row r="895" spans="1:38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</row>
    <row r="896" spans="1:38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</row>
    <row r="897" spans="1:38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</row>
    <row r="898" spans="1:3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</row>
    <row r="899" spans="1:38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</row>
    <row r="900" spans="1:38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</row>
    <row r="901" spans="1:38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</row>
    <row r="902" spans="1:38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</row>
    <row r="903" spans="1:38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</row>
    <row r="904" spans="1:38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</row>
    <row r="905" spans="1:38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</row>
    <row r="906" spans="1:38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</row>
    <row r="907" spans="1:38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</row>
    <row r="908" spans="1:3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</row>
    <row r="909" spans="1:38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</row>
    <row r="910" spans="1:38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</row>
    <row r="911" spans="1:38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</row>
    <row r="912" spans="1:38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</row>
    <row r="913" spans="1:38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</row>
    <row r="914" spans="1:38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</row>
    <row r="915" spans="1:38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</row>
    <row r="916" spans="1:38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</row>
    <row r="917" spans="1:38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</row>
    <row r="918" spans="1:3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</row>
    <row r="919" spans="1:38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</row>
    <row r="920" spans="1:38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</row>
    <row r="921" spans="1:38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</row>
    <row r="922" spans="1:38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</row>
    <row r="923" spans="1:38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</row>
    <row r="924" spans="1:38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</row>
    <row r="925" spans="1:38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</row>
    <row r="926" spans="1:38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</row>
    <row r="927" spans="1:38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</row>
    <row r="928" spans="1:3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</row>
    <row r="929" spans="1:38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</row>
    <row r="930" spans="1:38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</row>
    <row r="931" spans="1:38" ht="14.2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</row>
    <row r="932" spans="1:38" ht="14.2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</row>
    <row r="933" spans="1:38" ht="14.2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</row>
    <row r="934" spans="1:38" ht="14.2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</row>
    <row r="935" spans="1:38" ht="14.2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</row>
    <row r="936" spans="1:38" ht="14.2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</row>
    <row r="937" spans="1:38" ht="14.2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</row>
    <row r="938" spans="1:38" ht="14.2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</row>
    <row r="939" spans="1:38" ht="14.2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</row>
    <row r="940" spans="1:38" ht="14.2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</row>
    <row r="941" spans="1:38" ht="14.2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</row>
    <row r="942" spans="1:38" ht="14.2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</row>
    <row r="943" spans="1:38" ht="14.2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</row>
    <row r="944" spans="1:38" ht="14.2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</row>
    <row r="945" spans="1:38" ht="14.2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</row>
    <row r="946" spans="1:38" ht="14.2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</row>
    <row r="947" spans="1:38" ht="14.2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</row>
    <row r="948" spans="1:38" ht="14.2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</row>
    <row r="949" spans="1:38" ht="14.2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</row>
    <row r="950" spans="1:38" ht="14.2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</row>
    <row r="951" spans="1:38" ht="14.2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</row>
    <row r="952" spans="1:38" ht="14.2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</row>
    <row r="953" spans="1:38" ht="14.2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</row>
    <row r="954" spans="1:38" ht="14.2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</row>
    <row r="955" spans="1:38" ht="14.2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</row>
    <row r="956" spans="1:38" ht="14.2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</row>
    <row r="957" spans="1:38" ht="14.2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</row>
    <row r="958" spans="1:38" ht="14.2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</row>
    <row r="959" spans="1:38" ht="14.2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</row>
    <row r="960" spans="1:38" ht="14.2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</row>
    <row r="961" spans="1:38" ht="14.2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</row>
    <row r="962" spans="1:38" ht="14.2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</row>
    <row r="963" spans="1:38" ht="14.2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</row>
    <row r="964" spans="1:38" ht="14.2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</row>
    <row r="965" spans="1:38" ht="14.2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</row>
    <row r="966" spans="1:38" ht="14.2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</row>
    <row r="967" spans="1:38" ht="14.2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</row>
    <row r="968" spans="1:38" ht="14.2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</row>
    <row r="969" spans="1:38" ht="14.2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</row>
    <row r="970" spans="1:38" ht="14.2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</row>
    <row r="971" spans="1:38" ht="14.2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</row>
    <row r="972" spans="1:38" ht="14.2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</row>
    <row r="973" spans="1:38" ht="14.2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</row>
    <row r="974" spans="1:38" ht="14.2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</row>
    <row r="975" spans="1:38" ht="14.2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</row>
    <row r="976" spans="1:38" ht="14.2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</row>
    <row r="977" spans="1:38" ht="14.2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</row>
    <row r="978" spans="1:38" ht="14.2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</row>
    <row r="979" spans="1:38" ht="14.2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</row>
    <row r="980" spans="1:38" ht="14.2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</row>
    <row r="981" spans="1:38" ht="14.2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</row>
    <row r="982" spans="1:38" ht="14.2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</row>
    <row r="983" spans="1:38" ht="14.2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</row>
    <row r="984" spans="1:38" ht="14.2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</row>
    <row r="985" spans="1:38" ht="14.2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</row>
    <row r="986" spans="1:38" ht="14.2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</row>
    <row r="987" spans="1:38" ht="14.2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</row>
    <row r="988" spans="1:38" ht="14.2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</row>
    <row r="989" spans="1:38" ht="14.2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</row>
    <row r="990" spans="1:38" ht="14.2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</row>
    <row r="991" spans="1:38" ht="14.2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</row>
    <row r="992" spans="1:38" ht="14.2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</row>
    <row r="993" spans="1:38" ht="14.2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</row>
    <row r="994" spans="1:38" ht="14.2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</row>
    <row r="995" spans="1:38" ht="14.2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</row>
    <row r="996" spans="1:38" ht="14.2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</row>
    <row r="997" spans="1:38" ht="14.2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</row>
    <row r="998" spans="1:38" ht="14.2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</row>
    <row r="999" spans="1:38" ht="14.2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</row>
    <row r="1000" spans="1:38" ht="14.2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</row>
  </sheetData>
  <mergeCells count="44">
    <mergeCell ref="E2:AL2"/>
    <mergeCell ref="E3:S3"/>
    <mergeCell ref="W3:AL3"/>
    <mergeCell ref="E4:AL4"/>
    <mergeCell ref="E5:N5"/>
    <mergeCell ref="R5:Y5"/>
    <mergeCell ref="AC5:AL5"/>
    <mergeCell ref="E6:AL6"/>
    <mergeCell ref="E8:M8"/>
    <mergeCell ref="Q8:Y8"/>
    <mergeCell ref="AC8:AL8"/>
    <mergeCell ref="E9:AL9"/>
    <mergeCell ref="E11:AL11"/>
    <mergeCell ref="E12:M12"/>
    <mergeCell ref="Q12:X12"/>
    <mergeCell ref="E13:AL13"/>
    <mergeCell ref="E14:AL14"/>
    <mergeCell ref="E15:AL15"/>
    <mergeCell ref="E16:AL16"/>
    <mergeCell ref="E17:AL17"/>
    <mergeCell ref="Q18:AL18"/>
    <mergeCell ref="E19:AL19"/>
    <mergeCell ref="E20:S20"/>
    <mergeCell ref="V20:AL20"/>
    <mergeCell ref="E21:AL21"/>
    <mergeCell ref="E22:M22"/>
    <mergeCell ref="Q22:Y22"/>
    <mergeCell ref="Z22:AC22"/>
    <mergeCell ref="AD22:AL22"/>
    <mergeCell ref="E23:AL23"/>
    <mergeCell ref="E24:S24"/>
    <mergeCell ref="W24:AL24"/>
    <mergeCell ref="E25:AL25"/>
    <mergeCell ref="E26:M26"/>
    <mergeCell ref="Q26:Y26"/>
    <mergeCell ref="AC26:AL26"/>
    <mergeCell ref="E31:AL31"/>
    <mergeCell ref="E27:M27"/>
    <mergeCell ref="Q27:Y27"/>
    <mergeCell ref="AC27:AL27"/>
    <mergeCell ref="E28:AL28"/>
    <mergeCell ref="E29:M29"/>
    <mergeCell ref="Q29:Y29"/>
    <mergeCell ref="AC29:AL29"/>
  </mergeCells>
  <phoneticPr fontId="35"/>
  <pageMargins left="0.59027777777777801" right="0.196527777777778" top="0.59027777777777801" bottom="0.196527777777778" header="0" footer="0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O1000"/>
  <sheetViews>
    <sheetView showGridLines="0" workbookViewId="0"/>
  </sheetViews>
  <sheetFormatPr defaultColWidth="12.59765625" defaultRowHeight="15" customHeight="1"/>
  <cols>
    <col min="1" max="1" width="3.3984375" customWidth="1"/>
    <col min="2" max="2" width="2.59765625" customWidth="1"/>
    <col min="3" max="32" width="2.09765625" customWidth="1"/>
    <col min="33" max="33" width="2.59765625" customWidth="1"/>
    <col min="34" max="36" width="2.09765625" customWidth="1"/>
    <col min="37" max="38" width="2" customWidth="1"/>
    <col min="39" max="39" width="1.69921875" customWidth="1"/>
    <col min="40" max="40" width="2.09765625" customWidth="1"/>
    <col min="41" max="41" width="3.69921875" customWidth="1"/>
  </cols>
  <sheetData>
    <row r="1" spans="1:4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9.5" customHeight="1">
      <c r="A2" s="1"/>
      <c r="B2" s="1" t="s">
        <v>224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225</v>
      </c>
      <c r="T2" s="1"/>
      <c r="U2" s="1"/>
      <c r="V2" s="1"/>
      <c r="W2" s="1"/>
      <c r="X2" s="1"/>
      <c r="Y2" s="1"/>
      <c r="Z2" s="1"/>
      <c r="AA2" s="56"/>
      <c r="AB2" s="311" t="s">
        <v>226</v>
      </c>
      <c r="AC2" s="266"/>
      <c r="AD2" s="266"/>
      <c r="AE2" s="267"/>
      <c r="AF2" s="57"/>
      <c r="AG2" s="236"/>
      <c r="AH2" s="236"/>
      <c r="AI2" s="236"/>
      <c r="AJ2" s="236"/>
      <c r="AK2" s="236"/>
      <c r="AL2" s="64"/>
      <c r="AM2" s="1"/>
      <c r="AN2" s="1"/>
      <c r="AO2" s="1"/>
    </row>
    <row r="3" spans="1:41" ht="19.5" customHeight="1">
      <c r="A3" s="36"/>
      <c r="B3" s="36"/>
      <c r="C3" s="36"/>
      <c r="D3" s="36"/>
      <c r="E3" s="36"/>
      <c r="F3" s="312" t="s">
        <v>227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89"/>
      <c r="AB3" s="313" t="s">
        <v>228</v>
      </c>
      <c r="AC3" s="246"/>
      <c r="AD3" s="246"/>
      <c r="AE3" s="289"/>
      <c r="AF3" s="5"/>
      <c r="AG3" s="1"/>
      <c r="AH3" s="1"/>
      <c r="AI3" s="1"/>
      <c r="AJ3" s="1"/>
      <c r="AK3" s="1"/>
      <c r="AL3" s="6"/>
      <c r="AM3" s="36"/>
      <c r="AN3" s="36"/>
      <c r="AO3" s="36"/>
    </row>
    <row r="4" spans="1:41" ht="36" customHeight="1">
      <c r="A4" s="1"/>
      <c r="B4" s="37" t="s">
        <v>229</v>
      </c>
      <c r="C4" s="314" t="s">
        <v>230</v>
      </c>
      <c r="D4" s="295"/>
      <c r="E4" s="295"/>
      <c r="F4" s="295"/>
      <c r="G4" s="299"/>
      <c r="H4" s="315" t="s">
        <v>231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29"/>
      <c r="X4" s="229"/>
      <c r="Y4" s="229"/>
      <c r="Z4" s="229"/>
      <c r="AA4" s="229"/>
      <c r="AB4" s="19"/>
      <c r="AC4" s="19"/>
      <c r="AD4" s="58"/>
      <c r="AE4" s="19"/>
      <c r="AF4" s="58"/>
      <c r="AG4" s="19"/>
      <c r="AH4" s="58"/>
      <c r="AI4" s="58"/>
      <c r="AJ4" s="58"/>
      <c r="AK4" s="58"/>
      <c r="AL4" s="65"/>
      <c r="AM4" s="1"/>
      <c r="AN4" s="1"/>
      <c r="AO4" s="1"/>
    </row>
    <row r="5" spans="1:41" ht="21.75" customHeight="1">
      <c r="A5" s="1"/>
      <c r="B5" s="38"/>
      <c r="C5" s="1"/>
      <c r="D5" s="1"/>
      <c r="E5" s="1"/>
      <c r="F5" s="39" t="s">
        <v>232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1"/>
      <c r="AJ5" s="1"/>
      <c r="AK5" s="1"/>
      <c r="AL5" s="1"/>
      <c r="AM5" s="1"/>
      <c r="AN5" s="1"/>
      <c r="AO5" s="1"/>
    </row>
    <row r="6" spans="1:41" ht="17.25" customHeight="1">
      <c r="A6" s="230"/>
      <c r="B6" s="310"/>
      <c r="C6" s="266"/>
      <c r="D6" s="266"/>
      <c r="E6" s="266"/>
      <c r="F6" s="266"/>
      <c r="G6" s="267"/>
      <c r="H6" s="232" t="s">
        <v>233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6"/>
      <c r="Y6" s="44"/>
      <c r="Z6" s="44"/>
      <c r="AA6" s="291" t="s">
        <v>159</v>
      </c>
      <c r="AB6" s="266"/>
      <c r="AC6" s="288" t="s">
        <v>197</v>
      </c>
      <c r="AD6" s="266"/>
      <c r="AE6" s="266"/>
      <c r="AF6" s="266"/>
      <c r="AG6" s="291" t="s">
        <v>161</v>
      </c>
      <c r="AH6" s="266"/>
      <c r="AI6" s="288" t="s">
        <v>196</v>
      </c>
      <c r="AJ6" s="266"/>
      <c r="AK6" s="266"/>
      <c r="AL6" s="267"/>
      <c r="AM6" s="230"/>
      <c r="AN6" s="230"/>
      <c r="AO6" s="230"/>
    </row>
    <row r="7" spans="1:41" ht="17.25" customHeight="1">
      <c r="A7" s="230"/>
      <c r="B7" s="307"/>
      <c r="C7" s="246"/>
      <c r="D7" s="246"/>
      <c r="E7" s="246"/>
      <c r="F7" s="246"/>
      <c r="G7" s="289"/>
      <c r="H7" s="233" t="s">
        <v>234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7"/>
      <c r="Y7" s="45"/>
      <c r="Z7" s="45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70"/>
      <c r="AM7" s="230"/>
      <c r="AN7" s="230"/>
      <c r="AO7" s="230"/>
    </row>
    <row r="8" spans="1:41" ht="17.25" customHeight="1">
      <c r="A8" s="230"/>
      <c r="B8" s="307"/>
      <c r="C8" s="246"/>
      <c r="D8" s="246"/>
      <c r="E8" s="246"/>
      <c r="F8" s="246"/>
      <c r="G8" s="289"/>
      <c r="H8" s="40" t="s">
        <v>235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6"/>
      <c r="Y8" s="230" t="s">
        <v>236</v>
      </c>
      <c r="Z8" s="43"/>
      <c r="AA8" s="54" t="s">
        <v>237</v>
      </c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34"/>
      <c r="AM8" s="230"/>
      <c r="AN8" s="230"/>
      <c r="AO8" s="230"/>
    </row>
    <row r="9" spans="1:41" ht="17.25" customHeight="1">
      <c r="A9" s="230"/>
      <c r="B9" s="307"/>
      <c r="C9" s="246"/>
      <c r="D9" s="246"/>
      <c r="E9" s="246"/>
      <c r="F9" s="246"/>
      <c r="G9" s="289"/>
      <c r="H9" s="40" t="s">
        <v>238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8"/>
      <c r="Y9" s="59"/>
      <c r="Z9" s="43"/>
      <c r="AA9" s="54" t="s">
        <v>239</v>
      </c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34"/>
      <c r="AM9" s="230"/>
      <c r="AN9" s="230"/>
      <c r="AO9" s="230"/>
    </row>
    <row r="10" spans="1:41" ht="17.25" customHeight="1">
      <c r="A10" s="230"/>
      <c r="B10" s="307"/>
      <c r="C10" s="246"/>
      <c r="D10" s="246"/>
      <c r="E10" s="246"/>
      <c r="F10" s="246"/>
      <c r="G10" s="289"/>
      <c r="H10" s="41" t="s">
        <v>240</v>
      </c>
      <c r="I10" s="1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7"/>
      <c r="Y10" s="230"/>
      <c r="Z10" s="230"/>
      <c r="AA10" s="293" t="s">
        <v>241</v>
      </c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70"/>
      <c r="AM10" s="230"/>
      <c r="AN10" s="230"/>
      <c r="AO10" s="230"/>
    </row>
    <row r="11" spans="1:41" ht="17.25" customHeight="1">
      <c r="A11" s="230"/>
      <c r="B11" s="307"/>
      <c r="C11" s="246"/>
      <c r="D11" s="246"/>
      <c r="E11" s="246"/>
      <c r="F11" s="246"/>
      <c r="G11" s="289"/>
      <c r="H11" s="308" t="s">
        <v>242</v>
      </c>
      <c r="I11" s="266"/>
      <c r="J11" s="266"/>
      <c r="K11" s="266"/>
      <c r="L11" s="266"/>
      <c r="M11" s="266"/>
      <c r="N11" s="266"/>
      <c r="O11" s="266"/>
      <c r="P11" s="301"/>
      <c r="Q11" s="49" t="s">
        <v>243</v>
      </c>
      <c r="R11" s="238"/>
      <c r="S11" s="238"/>
      <c r="T11" s="238"/>
      <c r="U11" s="238"/>
      <c r="V11" s="238"/>
      <c r="W11" s="238"/>
      <c r="X11" s="238"/>
      <c r="Y11" s="238"/>
      <c r="Z11" s="238"/>
      <c r="AA11" s="228"/>
      <c r="AB11" s="228"/>
      <c r="AC11" s="228"/>
      <c r="AD11" s="60"/>
      <c r="AE11" s="228"/>
      <c r="AF11" s="228"/>
      <c r="AG11" s="228"/>
      <c r="AH11" s="228"/>
      <c r="AI11" s="228"/>
      <c r="AJ11" s="228"/>
      <c r="AK11" s="228"/>
      <c r="AL11" s="33"/>
      <c r="AM11" s="230"/>
      <c r="AN11" s="230"/>
      <c r="AO11" s="230"/>
    </row>
    <row r="12" spans="1:41" ht="24" customHeight="1">
      <c r="A12" s="1"/>
      <c r="B12" s="307"/>
      <c r="C12" s="246"/>
      <c r="D12" s="246"/>
      <c r="E12" s="246"/>
      <c r="F12" s="246"/>
      <c r="G12" s="289"/>
      <c r="H12" s="302"/>
      <c r="I12" s="269"/>
      <c r="J12" s="269"/>
      <c r="K12" s="269"/>
      <c r="L12" s="269"/>
      <c r="M12" s="269"/>
      <c r="N12" s="269"/>
      <c r="O12" s="269"/>
      <c r="P12" s="285"/>
      <c r="Q12" s="50"/>
      <c r="R12" s="237"/>
      <c r="S12" s="237"/>
      <c r="T12" s="227" t="s">
        <v>244</v>
      </c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66"/>
      <c r="AJ12" s="66"/>
      <c r="AK12" s="51"/>
      <c r="AL12" s="67"/>
      <c r="AM12" s="1"/>
      <c r="AN12" s="1"/>
      <c r="AO12" s="1"/>
    </row>
    <row r="13" spans="1:41" ht="19.5" customHeight="1">
      <c r="A13" s="1"/>
      <c r="B13" s="5"/>
      <c r="C13" s="1"/>
      <c r="D13" s="1"/>
      <c r="E13" s="1"/>
      <c r="F13" s="1"/>
      <c r="G13" s="6"/>
      <c r="H13" s="300" t="s">
        <v>245</v>
      </c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301"/>
      <c r="Y13" s="44"/>
      <c r="Z13" s="44"/>
      <c r="AA13" s="291" t="s">
        <v>159</v>
      </c>
      <c r="AB13" s="266"/>
      <c r="AC13" s="288" t="s">
        <v>197</v>
      </c>
      <c r="AD13" s="266"/>
      <c r="AE13" s="266"/>
      <c r="AF13" s="266"/>
      <c r="AG13" s="288" t="s">
        <v>161</v>
      </c>
      <c r="AH13" s="288" t="s">
        <v>196</v>
      </c>
      <c r="AI13" s="266"/>
      <c r="AJ13" s="266"/>
      <c r="AK13" s="266"/>
      <c r="AL13" s="267"/>
      <c r="AM13" s="1"/>
      <c r="AN13" s="1"/>
      <c r="AO13" s="1"/>
    </row>
    <row r="14" spans="1:41" ht="19.5" customHeight="1">
      <c r="A14" s="1"/>
      <c r="B14" s="5"/>
      <c r="C14" s="1"/>
      <c r="D14" s="1"/>
      <c r="E14" s="1"/>
      <c r="F14" s="1"/>
      <c r="G14" s="6"/>
      <c r="H14" s="302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85"/>
      <c r="Y14" s="45"/>
      <c r="Z14" s="45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89"/>
      <c r="AM14" s="1"/>
      <c r="AN14" s="1"/>
      <c r="AO14" s="1"/>
    </row>
    <row r="15" spans="1:41" ht="18.75" customHeight="1">
      <c r="A15" s="1"/>
      <c r="B15" s="305" t="s">
        <v>246</v>
      </c>
      <c r="C15" s="246"/>
      <c r="D15" s="246"/>
      <c r="E15" s="246"/>
      <c r="F15" s="246"/>
      <c r="G15" s="289"/>
      <c r="H15" s="300" t="s">
        <v>247</v>
      </c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301"/>
      <c r="Y15" s="238"/>
      <c r="Z15" s="238"/>
      <c r="AA15" s="291" t="s">
        <v>159</v>
      </c>
      <c r="AB15" s="266"/>
      <c r="AC15" s="288" t="s">
        <v>197</v>
      </c>
      <c r="AD15" s="266"/>
      <c r="AE15" s="266"/>
      <c r="AF15" s="266"/>
      <c r="AG15" s="288" t="s">
        <v>161</v>
      </c>
      <c r="AH15" s="288" t="s">
        <v>196</v>
      </c>
      <c r="AI15" s="266"/>
      <c r="AJ15" s="266"/>
      <c r="AK15" s="266"/>
      <c r="AL15" s="267"/>
      <c r="AM15" s="1"/>
      <c r="AN15" s="1"/>
      <c r="AO15" s="1"/>
    </row>
    <row r="16" spans="1:41" ht="18.75" customHeight="1">
      <c r="A16" s="1"/>
      <c r="B16" s="304"/>
      <c r="C16" s="246"/>
      <c r="D16" s="246"/>
      <c r="E16" s="246"/>
      <c r="F16" s="246"/>
      <c r="G16" s="289"/>
      <c r="H16" s="302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85"/>
      <c r="Y16" s="61"/>
      <c r="Z16" s="61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89"/>
      <c r="AM16" s="1"/>
      <c r="AN16" s="1"/>
      <c r="AO16" s="1"/>
    </row>
    <row r="17" spans="1:41" ht="18.75" customHeight="1">
      <c r="A17" s="1"/>
      <c r="B17" s="305" t="s">
        <v>248</v>
      </c>
      <c r="C17" s="246"/>
      <c r="D17" s="246"/>
      <c r="E17" s="246"/>
      <c r="F17" s="246"/>
      <c r="G17" s="289"/>
      <c r="H17" s="300" t="s">
        <v>249</v>
      </c>
      <c r="I17" s="266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301"/>
      <c r="Y17" s="44"/>
      <c r="Z17" s="44"/>
      <c r="AA17" s="291" t="s">
        <v>159</v>
      </c>
      <c r="AB17" s="266"/>
      <c r="AC17" s="288" t="s">
        <v>197</v>
      </c>
      <c r="AD17" s="266"/>
      <c r="AE17" s="266"/>
      <c r="AF17" s="266"/>
      <c r="AG17" s="288" t="s">
        <v>161</v>
      </c>
      <c r="AH17" s="288" t="s">
        <v>196</v>
      </c>
      <c r="AI17" s="266"/>
      <c r="AJ17" s="266"/>
      <c r="AK17" s="266"/>
      <c r="AL17" s="267"/>
      <c r="AM17" s="1"/>
      <c r="AN17" s="1"/>
      <c r="AO17" s="1"/>
    </row>
    <row r="18" spans="1:41" ht="18.75" customHeight="1">
      <c r="A18" s="1"/>
      <c r="B18" s="305" t="s">
        <v>250</v>
      </c>
      <c r="C18" s="246"/>
      <c r="D18" s="246"/>
      <c r="E18" s="246"/>
      <c r="F18" s="246"/>
      <c r="G18" s="289"/>
      <c r="H18" s="302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85"/>
      <c r="Y18" s="45"/>
      <c r="Z18" s="45"/>
      <c r="AA18" s="269"/>
      <c r="AB18" s="269"/>
      <c r="AC18" s="269"/>
      <c r="AD18" s="269"/>
      <c r="AE18" s="269"/>
      <c r="AF18" s="269"/>
      <c r="AG18" s="269"/>
      <c r="AH18" s="269"/>
      <c r="AI18" s="269"/>
      <c r="AJ18" s="269"/>
      <c r="AK18" s="269"/>
      <c r="AL18" s="270"/>
      <c r="AM18" s="1"/>
      <c r="AN18" s="1"/>
      <c r="AO18" s="1"/>
    </row>
    <row r="19" spans="1:41" ht="18.75" customHeight="1">
      <c r="A19" s="1"/>
      <c r="B19" s="304"/>
      <c r="C19" s="246"/>
      <c r="D19" s="246"/>
      <c r="E19" s="246"/>
      <c r="F19" s="246"/>
      <c r="G19" s="289"/>
      <c r="H19" s="300" t="s">
        <v>251</v>
      </c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301"/>
      <c r="Y19" s="44"/>
      <c r="Z19" s="44"/>
      <c r="AA19" s="290" t="s">
        <v>159</v>
      </c>
      <c r="AB19" s="246"/>
      <c r="AC19" s="292" t="s">
        <v>197</v>
      </c>
      <c r="AD19" s="246"/>
      <c r="AE19" s="246"/>
      <c r="AF19" s="246"/>
      <c r="AG19" s="292" t="s">
        <v>161</v>
      </c>
      <c r="AH19" s="292" t="s">
        <v>196</v>
      </c>
      <c r="AI19" s="246"/>
      <c r="AJ19" s="246"/>
      <c r="AK19" s="246"/>
      <c r="AL19" s="289"/>
      <c r="AM19" s="1"/>
      <c r="AN19" s="1"/>
      <c r="AO19" s="1"/>
    </row>
    <row r="20" spans="1:41" ht="18.75" customHeight="1">
      <c r="A20" s="1"/>
      <c r="B20" s="305" t="s">
        <v>252</v>
      </c>
      <c r="C20" s="246"/>
      <c r="D20" s="246"/>
      <c r="E20" s="246"/>
      <c r="F20" s="246"/>
      <c r="G20" s="289"/>
      <c r="H20" s="302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85"/>
      <c r="Y20" s="45"/>
      <c r="Z20" s="45"/>
      <c r="AA20" s="269"/>
      <c r="AB20" s="269"/>
      <c r="AC20" s="246"/>
      <c r="AD20" s="246"/>
      <c r="AE20" s="246"/>
      <c r="AF20" s="246"/>
      <c r="AG20" s="246"/>
      <c r="AH20" s="246"/>
      <c r="AI20" s="246"/>
      <c r="AJ20" s="246"/>
      <c r="AK20" s="246"/>
      <c r="AL20" s="289"/>
      <c r="AM20" s="1"/>
      <c r="AN20" s="1"/>
      <c r="AO20" s="1"/>
    </row>
    <row r="21" spans="1:41" ht="18.75" customHeight="1">
      <c r="A21" s="1"/>
      <c r="B21" s="13"/>
      <c r="C21" s="230"/>
      <c r="D21" s="230"/>
      <c r="E21" s="230"/>
      <c r="F21" s="230"/>
      <c r="G21" s="34"/>
      <c r="H21" s="300" t="s">
        <v>253</v>
      </c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301"/>
      <c r="Y21" s="44"/>
      <c r="Z21" s="44"/>
      <c r="AA21" s="290" t="s">
        <v>159</v>
      </c>
      <c r="AB21" s="246"/>
      <c r="AC21" s="288" t="s">
        <v>197</v>
      </c>
      <c r="AD21" s="266"/>
      <c r="AE21" s="266"/>
      <c r="AF21" s="266"/>
      <c r="AG21" s="288" t="s">
        <v>161</v>
      </c>
      <c r="AH21" s="288" t="s">
        <v>196</v>
      </c>
      <c r="AI21" s="266"/>
      <c r="AJ21" s="266"/>
      <c r="AK21" s="266"/>
      <c r="AL21" s="267"/>
      <c r="AM21" s="1"/>
      <c r="AN21" s="1"/>
      <c r="AO21" s="1"/>
    </row>
    <row r="22" spans="1:41" ht="18.75" customHeight="1">
      <c r="A22" s="1"/>
      <c r="B22" s="5"/>
      <c r="C22" s="1"/>
      <c r="D22" s="1"/>
      <c r="E22" s="1"/>
      <c r="F22" s="1"/>
      <c r="G22" s="6"/>
      <c r="H22" s="302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85"/>
      <c r="Y22" s="45"/>
      <c r="Z22" s="45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  <c r="AL22" s="270"/>
      <c r="AM22" s="1"/>
      <c r="AN22" s="1"/>
      <c r="AO22" s="1"/>
    </row>
    <row r="23" spans="1:41" ht="13.5" customHeight="1">
      <c r="A23" s="1"/>
      <c r="B23" s="5"/>
      <c r="C23" s="1"/>
      <c r="D23" s="1"/>
      <c r="E23" s="1"/>
      <c r="F23" s="1"/>
      <c r="G23" s="6"/>
      <c r="H23" s="308" t="s">
        <v>254</v>
      </c>
      <c r="I23" s="266"/>
      <c r="J23" s="266"/>
      <c r="K23" s="266"/>
      <c r="L23" s="266"/>
      <c r="M23" s="266"/>
      <c r="N23" s="266"/>
      <c r="O23" s="266"/>
      <c r="P23" s="301"/>
      <c r="Q23" s="52" t="s">
        <v>255</v>
      </c>
      <c r="R23" s="228"/>
      <c r="S23" s="228"/>
      <c r="T23" s="228"/>
      <c r="U23" s="228"/>
      <c r="V23" s="228"/>
      <c r="W23" s="228"/>
      <c r="X23" s="228"/>
      <c r="Y23" s="44"/>
      <c r="Z23" s="44"/>
      <c r="AA23" s="62"/>
      <c r="AB23" s="62"/>
      <c r="AC23" s="228"/>
      <c r="AD23" s="228"/>
      <c r="AE23" s="228"/>
      <c r="AF23" s="228"/>
      <c r="AG23" s="228"/>
      <c r="AH23" s="228"/>
      <c r="AI23" s="228"/>
      <c r="AJ23" s="228"/>
      <c r="AK23" s="228"/>
      <c r="AL23" s="33"/>
      <c r="AM23" s="1"/>
      <c r="AN23" s="1"/>
      <c r="AO23" s="1"/>
    </row>
    <row r="24" spans="1:41" ht="27" customHeight="1">
      <c r="A24" s="1"/>
      <c r="B24" s="5"/>
      <c r="C24" s="1"/>
      <c r="D24" s="1"/>
      <c r="E24" s="1"/>
      <c r="F24" s="1"/>
      <c r="G24" s="6"/>
      <c r="H24" s="302"/>
      <c r="I24" s="269"/>
      <c r="J24" s="269"/>
      <c r="K24" s="269"/>
      <c r="L24" s="269"/>
      <c r="M24" s="269"/>
      <c r="N24" s="269"/>
      <c r="O24" s="269"/>
      <c r="P24" s="285"/>
      <c r="Q24" s="53"/>
      <c r="R24" s="54" t="s">
        <v>256</v>
      </c>
      <c r="S24" s="230"/>
      <c r="T24" s="1"/>
      <c r="U24" s="230"/>
      <c r="V24" s="230"/>
      <c r="W24" s="230"/>
      <c r="X24" s="55"/>
      <c r="Y24" s="230"/>
      <c r="Z24" s="230"/>
      <c r="AA24" s="230"/>
      <c r="AB24" s="230"/>
      <c r="AC24" s="1"/>
      <c r="AD24" s="1"/>
      <c r="AE24" s="230"/>
      <c r="AF24" s="230"/>
      <c r="AG24" s="230"/>
      <c r="AH24" s="230"/>
      <c r="AI24" s="230"/>
      <c r="AJ24" s="230"/>
      <c r="AK24" s="230"/>
      <c r="AL24" s="34"/>
      <c r="AM24" s="1"/>
      <c r="AN24" s="1"/>
      <c r="AO24" s="1"/>
    </row>
    <row r="25" spans="1:41" ht="19.5" customHeight="1">
      <c r="A25" s="1"/>
      <c r="B25" s="5"/>
      <c r="C25" s="1"/>
      <c r="D25" s="1"/>
      <c r="E25" s="1"/>
      <c r="F25" s="1"/>
      <c r="G25" s="6"/>
      <c r="H25" s="300" t="s">
        <v>257</v>
      </c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301"/>
      <c r="Y25" s="44"/>
      <c r="Z25" s="44"/>
      <c r="AA25" s="291" t="s">
        <v>159</v>
      </c>
      <c r="AB25" s="266"/>
      <c r="AC25" s="288" t="s">
        <v>197</v>
      </c>
      <c r="AD25" s="266"/>
      <c r="AE25" s="266"/>
      <c r="AF25" s="266"/>
      <c r="AG25" s="288" t="s">
        <v>161</v>
      </c>
      <c r="AH25" s="288" t="s">
        <v>196</v>
      </c>
      <c r="AI25" s="266"/>
      <c r="AJ25" s="266"/>
      <c r="AK25" s="266"/>
      <c r="AL25" s="267"/>
      <c r="AM25" s="1"/>
      <c r="AN25" s="1"/>
      <c r="AO25" s="1"/>
    </row>
    <row r="26" spans="1:41" ht="19.5" customHeight="1">
      <c r="A26" s="1"/>
      <c r="B26" s="5"/>
      <c r="C26" s="1"/>
      <c r="D26" s="1"/>
      <c r="E26" s="1"/>
      <c r="F26" s="1"/>
      <c r="G26" s="6"/>
      <c r="H26" s="302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85"/>
      <c r="Y26" s="45"/>
      <c r="Z26" s="45"/>
      <c r="AA26" s="269"/>
      <c r="AB26" s="269"/>
      <c r="AC26" s="269"/>
      <c r="AD26" s="269"/>
      <c r="AE26" s="269"/>
      <c r="AF26" s="269"/>
      <c r="AG26" s="269"/>
      <c r="AH26" s="269"/>
      <c r="AI26" s="269"/>
      <c r="AJ26" s="269"/>
      <c r="AK26" s="269"/>
      <c r="AL26" s="270"/>
      <c r="AM26" s="1"/>
      <c r="AN26" s="1"/>
      <c r="AO26" s="1"/>
    </row>
    <row r="27" spans="1:41" ht="19.5" customHeight="1">
      <c r="A27" s="1"/>
      <c r="B27" s="5"/>
      <c r="C27" s="1"/>
      <c r="D27" s="1"/>
      <c r="E27" s="1"/>
      <c r="F27" s="1"/>
      <c r="G27" s="6"/>
      <c r="H27" s="300" t="s">
        <v>258</v>
      </c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301"/>
      <c r="Y27" s="44"/>
      <c r="Z27" s="44"/>
      <c r="AA27" s="290" t="s">
        <v>159</v>
      </c>
      <c r="AB27" s="246"/>
      <c r="AC27" s="288" t="s">
        <v>197</v>
      </c>
      <c r="AD27" s="266"/>
      <c r="AE27" s="266"/>
      <c r="AF27" s="266"/>
      <c r="AG27" s="288" t="s">
        <v>161</v>
      </c>
      <c r="AH27" s="288" t="s">
        <v>196</v>
      </c>
      <c r="AI27" s="266"/>
      <c r="AJ27" s="266"/>
      <c r="AK27" s="266"/>
      <c r="AL27" s="267"/>
      <c r="AM27" s="1"/>
      <c r="AN27" s="1"/>
      <c r="AO27" s="1"/>
    </row>
    <row r="28" spans="1:41" ht="19.5" customHeight="1">
      <c r="A28" s="1"/>
      <c r="B28" s="5"/>
      <c r="C28" s="1"/>
      <c r="D28" s="1"/>
      <c r="E28" s="1"/>
      <c r="F28" s="1"/>
      <c r="G28" s="6"/>
      <c r="H28" s="302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85"/>
      <c r="Y28" s="45"/>
      <c r="Z28" s="45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  <c r="AL28" s="270"/>
      <c r="AM28" s="1"/>
      <c r="AN28" s="1"/>
      <c r="AO28" s="1"/>
    </row>
    <row r="29" spans="1:41" ht="19.5" customHeight="1">
      <c r="A29" s="1"/>
      <c r="B29" s="13"/>
      <c r="C29" s="230"/>
      <c r="D29" s="230"/>
      <c r="E29" s="230"/>
      <c r="F29" s="230"/>
      <c r="G29" s="34"/>
      <c r="H29" s="300" t="s">
        <v>259</v>
      </c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301"/>
      <c r="Y29" s="44"/>
      <c r="Z29" s="44"/>
      <c r="AA29" s="290" t="s">
        <v>159</v>
      </c>
      <c r="AB29" s="246"/>
      <c r="AC29" s="288" t="s">
        <v>197</v>
      </c>
      <c r="AD29" s="266"/>
      <c r="AE29" s="266"/>
      <c r="AF29" s="266"/>
      <c r="AG29" s="288" t="s">
        <v>161</v>
      </c>
      <c r="AH29" s="288" t="s">
        <v>196</v>
      </c>
      <c r="AI29" s="266"/>
      <c r="AJ29" s="266"/>
      <c r="AK29" s="266"/>
      <c r="AL29" s="267"/>
      <c r="AM29" s="1"/>
      <c r="AN29" s="1"/>
      <c r="AO29" s="1"/>
    </row>
    <row r="30" spans="1:41" ht="19.5" customHeight="1">
      <c r="A30" s="1"/>
      <c r="B30" s="13"/>
      <c r="C30" s="230"/>
      <c r="D30" s="230"/>
      <c r="E30" s="230"/>
      <c r="F30" s="230"/>
      <c r="G30" s="34"/>
      <c r="H30" s="307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309"/>
      <c r="Y30" s="43"/>
      <c r="Z30" s="43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89"/>
      <c r="AM30" s="1"/>
      <c r="AN30" s="1"/>
      <c r="AO30" s="1"/>
    </row>
    <row r="31" spans="1:41" ht="26.25" customHeight="1">
      <c r="A31" s="1"/>
      <c r="B31" s="306" t="s">
        <v>260</v>
      </c>
      <c r="C31" s="266"/>
      <c r="D31" s="266"/>
      <c r="E31" s="266"/>
      <c r="F31" s="266"/>
      <c r="G31" s="267"/>
      <c r="H31" s="303" t="s">
        <v>261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6"/>
      <c r="Y31" s="238"/>
      <c r="Z31" s="238"/>
      <c r="AA31" s="297" t="s">
        <v>159</v>
      </c>
      <c r="AB31" s="295"/>
      <c r="AC31" s="288" t="s">
        <v>197</v>
      </c>
      <c r="AD31" s="266"/>
      <c r="AE31" s="266"/>
      <c r="AF31" s="266"/>
      <c r="AG31" s="228" t="s">
        <v>161</v>
      </c>
      <c r="AH31" s="288" t="s">
        <v>196</v>
      </c>
      <c r="AI31" s="266"/>
      <c r="AJ31" s="266"/>
      <c r="AK31" s="266"/>
      <c r="AL31" s="267"/>
      <c r="AM31" s="1"/>
      <c r="AN31" s="1"/>
      <c r="AO31" s="1"/>
    </row>
    <row r="32" spans="1:41" ht="26.25" customHeight="1">
      <c r="A32" s="1"/>
      <c r="B32" s="307"/>
      <c r="C32" s="246"/>
      <c r="D32" s="246"/>
      <c r="E32" s="246"/>
      <c r="F32" s="246"/>
      <c r="G32" s="289"/>
      <c r="H32" s="303" t="s">
        <v>262</v>
      </c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6"/>
      <c r="Y32" s="238"/>
      <c r="Z32" s="238"/>
      <c r="AA32" s="297" t="s">
        <v>159</v>
      </c>
      <c r="AB32" s="295"/>
      <c r="AC32" s="288" t="s">
        <v>197</v>
      </c>
      <c r="AD32" s="266"/>
      <c r="AE32" s="266"/>
      <c r="AF32" s="266"/>
      <c r="AG32" s="228" t="s">
        <v>161</v>
      </c>
      <c r="AH32" s="288" t="s">
        <v>196</v>
      </c>
      <c r="AI32" s="266"/>
      <c r="AJ32" s="266"/>
      <c r="AK32" s="266"/>
      <c r="AL32" s="267"/>
      <c r="AM32" s="1"/>
      <c r="AN32" s="1"/>
      <c r="AO32" s="1"/>
    </row>
    <row r="33" spans="1:41" ht="26.25" customHeight="1">
      <c r="A33" s="1"/>
      <c r="B33" s="307"/>
      <c r="C33" s="246"/>
      <c r="D33" s="246"/>
      <c r="E33" s="246"/>
      <c r="F33" s="246"/>
      <c r="G33" s="289"/>
      <c r="H33" s="303" t="s">
        <v>263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6"/>
      <c r="Y33" s="238"/>
      <c r="Z33" s="238"/>
      <c r="AA33" s="297" t="s">
        <v>159</v>
      </c>
      <c r="AB33" s="295"/>
      <c r="AC33" s="288" t="s">
        <v>197</v>
      </c>
      <c r="AD33" s="266"/>
      <c r="AE33" s="266"/>
      <c r="AF33" s="266"/>
      <c r="AG33" s="228" t="s">
        <v>161</v>
      </c>
      <c r="AH33" s="288" t="s">
        <v>196</v>
      </c>
      <c r="AI33" s="266"/>
      <c r="AJ33" s="266"/>
      <c r="AK33" s="266"/>
      <c r="AL33" s="267"/>
      <c r="AM33" s="1"/>
      <c r="AN33" s="1"/>
      <c r="AO33" s="1"/>
    </row>
    <row r="34" spans="1:41" ht="26.25" customHeight="1">
      <c r="A34" s="1"/>
      <c r="B34" s="307"/>
      <c r="C34" s="246"/>
      <c r="D34" s="246"/>
      <c r="E34" s="246"/>
      <c r="F34" s="246"/>
      <c r="G34" s="289"/>
      <c r="H34" s="294" t="s">
        <v>264</v>
      </c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6"/>
      <c r="Y34" s="238"/>
      <c r="Z34" s="238"/>
      <c r="AA34" s="297" t="s">
        <v>159</v>
      </c>
      <c r="AB34" s="295"/>
      <c r="AC34" s="288" t="s">
        <v>197</v>
      </c>
      <c r="AD34" s="266"/>
      <c r="AE34" s="266"/>
      <c r="AF34" s="266"/>
      <c r="AG34" s="228" t="s">
        <v>161</v>
      </c>
      <c r="AH34" s="288" t="s">
        <v>196</v>
      </c>
      <c r="AI34" s="266"/>
      <c r="AJ34" s="266"/>
      <c r="AK34" s="266"/>
      <c r="AL34" s="267"/>
      <c r="AM34" s="1"/>
      <c r="AN34" s="1"/>
      <c r="AO34" s="1"/>
    </row>
    <row r="35" spans="1:41" ht="26.25" customHeight="1">
      <c r="A35" s="1"/>
      <c r="B35" s="307"/>
      <c r="C35" s="246"/>
      <c r="D35" s="246"/>
      <c r="E35" s="246"/>
      <c r="F35" s="246"/>
      <c r="G35" s="289"/>
      <c r="H35" s="294" t="s">
        <v>265</v>
      </c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6"/>
      <c r="Y35" s="238"/>
      <c r="Z35" s="238"/>
      <c r="AA35" s="297" t="s">
        <v>159</v>
      </c>
      <c r="AB35" s="295"/>
      <c r="AC35" s="288" t="s">
        <v>197</v>
      </c>
      <c r="AD35" s="266"/>
      <c r="AE35" s="266"/>
      <c r="AF35" s="266"/>
      <c r="AG35" s="228" t="s">
        <v>161</v>
      </c>
      <c r="AH35" s="288" t="s">
        <v>196</v>
      </c>
      <c r="AI35" s="266"/>
      <c r="AJ35" s="266"/>
      <c r="AK35" s="266"/>
      <c r="AL35" s="267"/>
      <c r="AM35" s="1"/>
      <c r="AN35" s="1"/>
      <c r="AO35" s="1"/>
    </row>
    <row r="36" spans="1:41" ht="30.75" customHeight="1">
      <c r="A36" s="1"/>
      <c r="B36" s="307"/>
      <c r="C36" s="246"/>
      <c r="D36" s="246"/>
      <c r="E36" s="246"/>
      <c r="F36" s="246"/>
      <c r="G36" s="289"/>
      <c r="H36" s="294" t="s">
        <v>266</v>
      </c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6"/>
      <c r="Y36" s="238"/>
      <c r="Z36" s="238"/>
      <c r="AA36" s="297" t="s">
        <v>159</v>
      </c>
      <c r="AB36" s="295"/>
      <c r="AC36" s="288" t="s">
        <v>197</v>
      </c>
      <c r="AD36" s="266"/>
      <c r="AE36" s="266"/>
      <c r="AF36" s="266"/>
      <c r="AG36" s="228" t="s">
        <v>161</v>
      </c>
      <c r="AH36" s="288" t="s">
        <v>196</v>
      </c>
      <c r="AI36" s="266"/>
      <c r="AJ36" s="266"/>
      <c r="AK36" s="266"/>
      <c r="AL36" s="267"/>
      <c r="AM36" s="1"/>
      <c r="AN36" s="1"/>
      <c r="AO36" s="1"/>
    </row>
    <row r="37" spans="1:41" ht="30.75" customHeight="1">
      <c r="A37" s="1"/>
      <c r="B37" s="302"/>
      <c r="C37" s="269"/>
      <c r="D37" s="269"/>
      <c r="E37" s="269"/>
      <c r="F37" s="269"/>
      <c r="G37" s="270"/>
      <c r="H37" s="294" t="s">
        <v>267</v>
      </c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6"/>
      <c r="Y37" s="63"/>
      <c r="Z37" s="63"/>
      <c r="AA37" s="297" t="s">
        <v>159</v>
      </c>
      <c r="AB37" s="295"/>
      <c r="AC37" s="298" t="s">
        <v>197</v>
      </c>
      <c r="AD37" s="295"/>
      <c r="AE37" s="295"/>
      <c r="AF37" s="295"/>
      <c r="AG37" s="229" t="s">
        <v>161</v>
      </c>
      <c r="AH37" s="298" t="s">
        <v>196</v>
      </c>
      <c r="AI37" s="295"/>
      <c r="AJ37" s="295"/>
      <c r="AK37" s="295"/>
      <c r="AL37" s="299"/>
      <c r="AM37" s="1"/>
      <c r="AN37" s="1"/>
      <c r="AO37" s="1"/>
    </row>
    <row r="38" spans="1:41" ht="13.5" customHeight="1">
      <c r="A38" s="1"/>
      <c r="B38" s="1"/>
      <c r="C38" s="1"/>
      <c r="D38" s="1"/>
      <c r="E38" s="1"/>
      <c r="F38" s="1"/>
      <c r="G38" s="42"/>
      <c r="H38" s="42"/>
      <c r="I38" s="42"/>
      <c r="J38" s="42"/>
      <c r="K38" s="42"/>
      <c r="L38" s="42"/>
      <c r="M38" s="42"/>
      <c r="N38" s="10"/>
      <c r="O38" s="10"/>
      <c r="P38" s="10"/>
      <c r="Q38" s="10"/>
      <c r="R38" s="1" t="s">
        <v>268</v>
      </c>
      <c r="S38" s="10"/>
      <c r="T38" s="10"/>
      <c r="U38" s="10"/>
      <c r="V38" s="10"/>
      <c r="W38" s="10"/>
      <c r="X38" s="10"/>
      <c r="Y38" s="10"/>
      <c r="Z38" s="10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1"/>
      <c r="AN38" s="1"/>
      <c r="AO38" s="1"/>
    </row>
    <row r="39" spans="1:41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3.5" customHeight="1">
      <c r="A47" s="1"/>
      <c r="B47" s="1"/>
      <c r="C47" s="1"/>
      <c r="D47" s="1"/>
      <c r="E47" s="1"/>
      <c r="F47" s="1"/>
      <c r="G47" s="4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88">
    <mergeCell ref="AG6:AH7"/>
    <mergeCell ref="AB2:AE2"/>
    <mergeCell ref="F3:AA3"/>
    <mergeCell ref="AB3:AE3"/>
    <mergeCell ref="C4:G4"/>
    <mergeCell ref="H4:V4"/>
    <mergeCell ref="H11:P12"/>
    <mergeCell ref="AH15:AL16"/>
    <mergeCell ref="AA17:AB18"/>
    <mergeCell ref="AC17:AF18"/>
    <mergeCell ref="AH17:AL18"/>
    <mergeCell ref="AA15:AB16"/>
    <mergeCell ref="H15:X16"/>
    <mergeCell ref="H17:X18"/>
    <mergeCell ref="B15:G15"/>
    <mergeCell ref="B16:G16"/>
    <mergeCell ref="B17:G17"/>
    <mergeCell ref="B18:G18"/>
    <mergeCell ref="B6:G12"/>
    <mergeCell ref="B19:G19"/>
    <mergeCell ref="B20:G20"/>
    <mergeCell ref="H31:X31"/>
    <mergeCell ref="AA31:AB31"/>
    <mergeCell ref="AC31:AF31"/>
    <mergeCell ref="AA19:AB20"/>
    <mergeCell ref="AA21:AB22"/>
    <mergeCell ref="AA25:AB26"/>
    <mergeCell ref="AC19:AF20"/>
    <mergeCell ref="B31:G37"/>
    <mergeCell ref="H19:X20"/>
    <mergeCell ref="H21:X22"/>
    <mergeCell ref="H23:P24"/>
    <mergeCell ref="H25:X26"/>
    <mergeCell ref="H27:X28"/>
    <mergeCell ref="H29:X30"/>
    <mergeCell ref="AH31:AL31"/>
    <mergeCell ref="H32:X32"/>
    <mergeCell ref="AA32:AB32"/>
    <mergeCell ref="AC32:AF32"/>
    <mergeCell ref="AH32:AL32"/>
    <mergeCell ref="H33:X33"/>
    <mergeCell ref="AA33:AB33"/>
    <mergeCell ref="AC33:AF33"/>
    <mergeCell ref="AH33:AL33"/>
    <mergeCell ref="H34:X34"/>
    <mergeCell ref="AA34:AB34"/>
    <mergeCell ref="AC34:AF34"/>
    <mergeCell ref="AH34:AL34"/>
    <mergeCell ref="H35:X35"/>
    <mergeCell ref="AA35:AB35"/>
    <mergeCell ref="AC35:AF35"/>
    <mergeCell ref="AH35:AL35"/>
    <mergeCell ref="H36:X36"/>
    <mergeCell ref="AA36:AB36"/>
    <mergeCell ref="AC36:AF36"/>
    <mergeCell ref="AH36:AL36"/>
    <mergeCell ref="H37:X37"/>
    <mergeCell ref="AA37:AB37"/>
    <mergeCell ref="AC37:AF37"/>
    <mergeCell ref="AH37:AL37"/>
    <mergeCell ref="AG13:AG14"/>
    <mergeCell ref="AG15:AG16"/>
    <mergeCell ref="AG17:AG18"/>
    <mergeCell ref="AG19:AG20"/>
    <mergeCell ref="AG21:AG22"/>
    <mergeCell ref="AG25:AG26"/>
    <mergeCell ref="AG27:AG28"/>
    <mergeCell ref="AG29:AG30"/>
    <mergeCell ref="H13:X14"/>
    <mergeCell ref="AC13:AF14"/>
    <mergeCell ref="AH13:AL14"/>
    <mergeCell ref="AH27:AL28"/>
    <mergeCell ref="AI6:AL7"/>
    <mergeCell ref="AC29:AF30"/>
    <mergeCell ref="AH29:AL30"/>
    <mergeCell ref="AA27:AB28"/>
    <mergeCell ref="AA29:AB30"/>
    <mergeCell ref="AA13:AB14"/>
    <mergeCell ref="AH19:AL20"/>
    <mergeCell ref="AC25:AF26"/>
    <mergeCell ref="AC27:AF28"/>
    <mergeCell ref="AC15:AF16"/>
    <mergeCell ref="AC21:AF22"/>
    <mergeCell ref="AH21:AL22"/>
    <mergeCell ref="AH25:AL26"/>
    <mergeCell ref="AC6:AF7"/>
    <mergeCell ref="AA10:AL10"/>
    <mergeCell ref="AA6:AB7"/>
  </mergeCells>
  <phoneticPr fontId="35"/>
  <pageMargins left="0.39305555555555599" right="0.196527777777778" top="0.59027777777777801" bottom="0.196527777777778" header="0" footer="0"/>
  <pageSetup paperSize="9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P1000"/>
  <sheetViews>
    <sheetView showGridLines="0" workbookViewId="0"/>
  </sheetViews>
  <sheetFormatPr defaultColWidth="12.59765625" defaultRowHeight="15" customHeight="1"/>
  <cols>
    <col min="1" max="1" width="2" customWidth="1"/>
    <col min="2" max="23" width="2.09765625" customWidth="1"/>
    <col min="24" max="24" width="1.69921875" customWidth="1"/>
    <col min="25" max="25" width="2.09765625" customWidth="1"/>
    <col min="26" max="30" width="2.19921875" customWidth="1"/>
    <col min="31" max="31" width="1.69921875" customWidth="1"/>
    <col min="32" max="32" width="2.09765625" customWidth="1"/>
    <col min="33" max="36" width="2.19921875" customWidth="1"/>
    <col min="37" max="37" width="4.796875" customWidth="1"/>
    <col min="38" max="38" width="0.59765625" customWidth="1"/>
    <col min="39" max="42" width="4" customWidth="1"/>
  </cols>
  <sheetData>
    <row r="1" spans="1:42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3.5" customHeight="1">
      <c r="A2" s="1"/>
      <c r="B2" s="1" t="s">
        <v>269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270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4" customHeight="1">
      <c r="A3" s="1"/>
      <c r="B3" s="2"/>
      <c r="C3" s="3"/>
      <c r="D3" s="3"/>
      <c r="E3" s="3"/>
      <c r="F3" s="3"/>
      <c r="G3" s="4"/>
      <c r="H3" s="337" t="s">
        <v>271</v>
      </c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301"/>
      <c r="W3" s="316" t="s">
        <v>159</v>
      </c>
      <c r="X3" s="291" t="s">
        <v>272</v>
      </c>
      <c r="Y3" s="266"/>
      <c r="Z3" s="266"/>
      <c r="AA3" s="266"/>
      <c r="AB3" s="266"/>
      <c r="AC3" s="288" t="s">
        <v>161</v>
      </c>
      <c r="AD3" s="291" t="s">
        <v>273</v>
      </c>
      <c r="AE3" s="266"/>
      <c r="AF3" s="266"/>
      <c r="AG3" s="266"/>
      <c r="AH3" s="266"/>
      <c r="AI3" s="266"/>
      <c r="AJ3" s="266"/>
      <c r="AK3" s="267"/>
      <c r="AL3" s="1"/>
      <c r="AM3" s="1"/>
      <c r="AN3" s="1"/>
      <c r="AO3" s="1"/>
      <c r="AP3" s="1"/>
    </row>
    <row r="4" spans="1:42" ht="24" customHeight="1">
      <c r="A4" s="1"/>
      <c r="B4" s="5"/>
      <c r="C4" s="1"/>
      <c r="D4" s="1"/>
      <c r="E4" s="1"/>
      <c r="F4" s="1"/>
      <c r="G4" s="6"/>
      <c r="H4" s="342" t="s">
        <v>274</v>
      </c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85"/>
      <c r="W4" s="269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70"/>
      <c r="AL4" s="1"/>
      <c r="AM4" s="1"/>
      <c r="AN4" s="1"/>
      <c r="AO4" s="1"/>
      <c r="AP4" s="1"/>
    </row>
    <row r="5" spans="1:42" ht="24" customHeight="1">
      <c r="A5" s="1"/>
      <c r="B5" s="5"/>
      <c r="C5" s="1"/>
      <c r="D5" s="1"/>
      <c r="E5" s="1"/>
      <c r="F5" s="1"/>
      <c r="G5" s="6"/>
      <c r="H5" s="337" t="s">
        <v>275</v>
      </c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301"/>
      <c r="W5" s="316" t="s">
        <v>159</v>
      </c>
      <c r="X5" s="291" t="s">
        <v>272</v>
      </c>
      <c r="Y5" s="266"/>
      <c r="Z5" s="266"/>
      <c r="AA5" s="266"/>
      <c r="AB5" s="266"/>
      <c r="AC5" s="288" t="s">
        <v>161</v>
      </c>
      <c r="AD5" s="291" t="s">
        <v>276</v>
      </c>
      <c r="AE5" s="266"/>
      <c r="AF5" s="266"/>
      <c r="AG5" s="266"/>
      <c r="AH5" s="266"/>
      <c r="AI5" s="266"/>
      <c r="AJ5" s="266"/>
      <c r="AK5" s="267"/>
      <c r="AL5" s="1"/>
      <c r="AM5" s="1"/>
      <c r="AN5" s="1"/>
      <c r="AO5" s="1"/>
      <c r="AP5" s="1"/>
    </row>
    <row r="6" spans="1:42" ht="24" customHeight="1">
      <c r="A6" s="1"/>
      <c r="B6" s="5"/>
      <c r="C6" s="1"/>
      <c r="D6" s="1"/>
      <c r="E6" s="1"/>
      <c r="F6" s="1"/>
      <c r="G6" s="6"/>
      <c r="H6" s="342" t="s">
        <v>277</v>
      </c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85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70"/>
      <c r="AL6" s="1"/>
      <c r="AM6" s="1"/>
      <c r="AN6" s="1"/>
      <c r="AO6" s="1"/>
      <c r="AP6" s="1"/>
    </row>
    <row r="7" spans="1:42" ht="24" customHeight="1">
      <c r="A7" s="1"/>
      <c r="B7" s="5"/>
      <c r="C7" s="1"/>
      <c r="D7" s="1"/>
      <c r="E7" s="1"/>
      <c r="F7" s="1"/>
      <c r="G7" s="6"/>
      <c r="H7" s="343" t="s">
        <v>278</v>
      </c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301"/>
      <c r="W7" s="316" t="s">
        <v>159</v>
      </c>
      <c r="X7" s="291" t="s">
        <v>272</v>
      </c>
      <c r="Y7" s="266"/>
      <c r="Z7" s="266"/>
      <c r="AA7" s="266"/>
      <c r="AB7" s="266"/>
      <c r="AC7" s="288" t="s">
        <v>161</v>
      </c>
      <c r="AD7" s="316" t="s">
        <v>279</v>
      </c>
      <c r="AE7" s="266"/>
      <c r="AF7" s="266"/>
      <c r="AG7" s="266"/>
      <c r="AH7" s="266"/>
      <c r="AI7" s="266"/>
      <c r="AJ7" s="266"/>
      <c r="AK7" s="267"/>
      <c r="AL7" s="1"/>
      <c r="AM7" s="1"/>
      <c r="AN7" s="1"/>
      <c r="AO7" s="1"/>
      <c r="AP7" s="1"/>
    </row>
    <row r="8" spans="1:42" ht="24" customHeight="1">
      <c r="A8" s="1"/>
      <c r="B8" s="336" t="s">
        <v>280</v>
      </c>
      <c r="C8" s="246"/>
      <c r="D8" s="246"/>
      <c r="E8" s="246"/>
      <c r="F8" s="246"/>
      <c r="G8" s="289"/>
      <c r="H8" s="302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85"/>
      <c r="W8" s="269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70"/>
      <c r="AL8" s="1"/>
      <c r="AM8" s="1"/>
      <c r="AN8" s="1"/>
      <c r="AO8" s="1"/>
      <c r="AP8" s="1"/>
    </row>
    <row r="9" spans="1:42" ht="24" customHeight="1">
      <c r="A9" s="1"/>
      <c r="B9" s="5"/>
      <c r="C9" s="1"/>
      <c r="D9" s="1"/>
      <c r="E9" s="1"/>
      <c r="F9" s="1"/>
      <c r="G9" s="6"/>
      <c r="H9" s="337" t="s">
        <v>281</v>
      </c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301"/>
      <c r="W9" s="316" t="s">
        <v>159</v>
      </c>
      <c r="X9" s="291" t="s">
        <v>272</v>
      </c>
      <c r="Y9" s="266"/>
      <c r="Z9" s="266"/>
      <c r="AA9" s="266"/>
      <c r="AB9" s="266"/>
      <c r="AC9" s="288" t="s">
        <v>161</v>
      </c>
      <c r="AD9" s="291" t="s">
        <v>282</v>
      </c>
      <c r="AE9" s="266"/>
      <c r="AF9" s="266"/>
      <c r="AG9" s="266"/>
      <c r="AH9" s="266"/>
      <c r="AI9" s="266"/>
      <c r="AJ9" s="266"/>
      <c r="AK9" s="267"/>
      <c r="AL9" s="1"/>
      <c r="AM9" s="1"/>
      <c r="AN9" s="1"/>
      <c r="AO9" s="1"/>
      <c r="AP9" s="1"/>
    </row>
    <row r="10" spans="1:42" ht="24" customHeight="1">
      <c r="A10" s="1"/>
      <c r="B10" s="336" t="s">
        <v>283</v>
      </c>
      <c r="C10" s="246"/>
      <c r="D10" s="246"/>
      <c r="E10" s="246"/>
      <c r="F10" s="246"/>
      <c r="G10" s="289"/>
      <c r="H10" s="342" t="s">
        <v>284</v>
      </c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85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70"/>
      <c r="AL10" s="1"/>
      <c r="AM10" s="1"/>
      <c r="AN10" s="1"/>
      <c r="AO10" s="1"/>
      <c r="AP10" s="1"/>
    </row>
    <row r="11" spans="1:42" ht="24" customHeight="1">
      <c r="A11" s="1"/>
      <c r="B11" s="5"/>
      <c r="C11" s="1"/>
      <c r="D11" s="1"/>
      <c r="E11" s="1"/>
      <c r="F11" s="1"/>
      <c r="G11" s="6"/>
      <c r="H11" s="337" t="s">
        <v>285</v>
      </c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301"/>
      <c r="W11" s="316" t="s">
        <v>159</v>
      </c>
      <c r="X11" s="316" t="s">
        <v>286</v>
      </c>
      <c r="Y11" s="266"/>
      <c r="Z11" s="266"/>
      <c r="AA11" s="266"/>
      <c r="AB11" s="266"/>
      <c r="AC11" s="288" t="s">
        <v>161</v>
      </c>
      <c r="AD11" s="316" t="s">
        <v>287</v>
      </c>
      <c r="AE11" s="266"/>
      <c r="AF11" s="266"/>
      <c r="AG11" s="266"/>
      <c r="AH11" s="266"/>
      <c r="AI11" s="266"/>
      <c r="AJ11" s="266"/>
      <c r="AK11" s="267"/>
      <c r="AL11" s="1"/>
      <c r="AM11" s="1"/>
      <c r="AN11" s="1"/>
      <c r="AO11" s="1"/>
      <c r="AP11" s="1"/>
    </row>
    <row r="12" spans="1:42" ht="24" customHeight="1">
      <c r="A12" s="1"/>
      <c r="B12" s="5"/>
      <c r="C12" s="1"/>
      <c r="D12" s="1"/>
      <c r="E12" s="1"/>
      <c r="F12" s="1"/>
      <c r="G12" s="6"/>
      <c r="H12" s="342" t="s">
        <v>288</v>
      </c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85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70"/>
      <c r="AL12" s="1"/>
      <c r="AM12" s="1"/>
      <c r="AN12" s="1"/>
      <c r="AO12" s="1"/>
      <c r="AP12" s="1"/>
    </row>
    <row r="13" spans="1:42" ht="24" customHeight="1">
      <c r="A13" s="1"/>
      <c r="B13" s="5"/>
      <c r="C13" s="1"/>
      <c r="D13" s="1"/>
      <c r="E13" s="1"/>
      <c r="F13" s="1"/>
      <c r="G13" s="6"/>
      <c r="H13" s="337" t="s">
        <v>289</v>
      </c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301"/>
      <c r="W13" s="316" t="s">
        <v>159</v>
      </c>
      <c r="X13" s="316" t="s">
        <v>286</v>
      </c>
      <c r="Y13" s="266"/>
      <c r="Z13" s="266"/>
      <c r="AA13" s="266"/>
      <c r="AB13" s="266"/>
      <c r="AC13" s="288" t="s">
        <v>161</v>
      </c>
      <c r="AD13" s="316" t="s">
        <v>287</v>
      </c>
      <c r="AE13" s="266"/>
      <c r="AF13" s="266"/>
      <c r="AG13" s="266"/>
      <c r="AH13" s="266"/>
      <c r="AI13" s="266"/>
      <c r="AJ13" s="266"/>
      <c r="AK13" s="267"/>
      <c r="AL13" s="1"/>
      <c r="AM13" s="1"/>
      <c r="AN13" s="1"/>
      <c r="AO13" s="1"/>
      <c r="AP13" s="1"/>
    </row>
    <row r="14" spans="1:42" ht="24" customHeight="1">
      <c r="A14" s="1"/>
      <c r="B14" s="5"/>
      <c r="C14" s="1"/>
      <c r="D14" s="1"/>
      <c r="E14" s="1"/>
      <c r="F14" s="1"/>
      <c r="G14" s="6"/>
      <c r="H14" s="342" t="s">
        <v>290</v>
      </c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85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89"/>
      <c r="AL14" s="1"/>
      <c r="AM14" s="1"/>
      <c r="AN14" s="1"/>
      <c r="AO14" s="1"/>
      <c r="AP14" s="1"/>
    </row>
    <row r="15" spans="1:42" ht="24" customHeight="1">
      <c r="A15" s="1"/>
      <c r="B15" s="2"/>
      <c r="C15" s="3"/>
      <c r="D15" s="3"/>
      <c r="E15" s="3"/>
      <c r="F15" s="3"/>
      <c r="G15" s="4"/>
      <c r="H15" s="340" t="s">
        <v>291</v>
      </c>
      <c r="I15" s="295"/>
      <c r="J15" s="295"/>
      <c r="K15" s="295"/>
      <c r="L15" s="299"/>
      <c r="M15" s="346" t="s">
        <v>292</v>
      </c>
      <c r="N15" s="295"/>
      <c r="O15" s="295"/>
      <c r="P15" s="295"/>
      <c r="Q15" s="295"/>
      <c r="R15" s="295"/>
      <c r="S15" s="295"/>
      <c r="T15" s="299"/>
      <c r="U15" s="340" t="s">
        <v>293</v>
      </c>
      <c r="V15" s="295"/>
      <c r="W15" s="299"/>
      <c r="X15" s="340" t="s">
        <v>294</v>
      </c>
      <c r="Y15" s="295"/>
      <c r="Z15" s="295"/>
      <c r="AA15" s="295"/>
      <c r="AB15" s="295"/>
      <c r="AC15" s="295"/>
      <c r="AD15" s="299"/>
      <c r="AE15" s="340" t="s">
        <v>295</v>
      </c>
      <c r="AF15" s="295"/>
      <c r="AG15" s="295"/>
      <c r="AH15" s="295"/>
      <c r="AI15" s="295"/>
      <c r="AJ15" s="295"/>
      <c r="AK15" s="299"/>
      <c r="AL15" s="1"/>
      <c r="AM15" s="1"/>
      <c r="AN15" s="1"/>
      <c r="AO15" s="1"/>
      <c r="AP15" s="1"/>
    </row>
    <row r="16" spans="1:42" ht="19.5" customHeight="1">
      <c r="A16" s="1"/>
      <c r="B16" s="5"/>
      <c r="C16" s="1"/>
      <c r="D16" s="1"/>
      <c r="E16" s="1"/>
      <c r="F16" s="1"/>
      <c r="G16" s="6"/>
      <c r="H16" s="308" t="s">
        <v>296</v>
      </c>
      <c r="I16" s="266"/>
      <c r="J16" s="266"/>
      <c r="K16" s="266"/>
      <c r="L16" s="267"/>
      <c r="M16" s="337" t="s">
        <v>297</v>
      </c>
      <c r="N16" s="266"/>
      <c r="O16" s="266"/>
      <c r="P16" s="266"/>
      <c r="Q16" s="266"/>
      <c r="R16" s="266"/>
      <c r="S16" s="266"/>
      <c r="T16" s="301"/>
      <c r="U16" s="317">
        <v>22</v>
      </c>
      <c r="V16" s="266"/>
      <c r="W16" s="332" t="s">
        <v>298</v>
      </c>
      <c r="X16" s="341" t="s">
        <v>299</v>
      </c>
      <c r="Y16" s="272"/>
      <c r="Z16" s="228" t="s">
        <v>2</v>
      </c>
      <c r="AA16" s="21">
        <v>11</v>
      </c>
      <c r="AB16" s="228" t="s">
        <v>3</v>
      </c>
      <c r="AC16" s="21">
        <v>8</v>
      </c>
      <c r="AD16" s="240" t="s">
        <v>4</v>
      </c>
      <c r="AE16" s="228"/>
      <c r="AF16" s="228"/>
      <c r="AG16" s="228" t="s">
        <v>2</v>
      </c>
      <c r="AH16" s="228"/>
      <c r="AI16" s="228" t="s">
        <v>3</v>
      </c>
      <c r="AJ16" s="228"/>
      <c r="AK16" s="241" t="s">
        <v>4</v>
      </c>
      <c r="AL16" s="1"/>
      <c r="AM16" s="1"/>
      <c r="AN16" s="1"/>
      <c r="AO16" s="1"/>
      <c r="AP16" s="1"/>
    </row>
    <row r="17" spans="1:42" ht="24" customHeight="1">
      <c r="A17" s="1"/>
      <c r="B17" s="5"/>
      <c r="C17" s="1"/>
      <c r="D17" s="1"/>
      <c r="E17" s="1"/>
      <c r="F17" s="1"/>
      <c r="G17" s="6"/>
      <c r="H17" s="307"/>
      <c r="I17" s="246"/>
      <c r="J17" s="246"/>
      <c r="K17" s="246"/>
      <c r="L17" s="289"/>
      <c r="M17" s="333" t="s">
        <v>300</v>
      </c>
      <c r="N17" s="269"/>
      <c r="O17" s="269"/>
      <c r="P17" s="269"/>
      <c r="Q17" s="269"/>
      <c r="R17" s="269"/>
      <c r="S17" s="269"/>
      <c r="T17" s="285"/>
      <c r="U17" s="269"/>
      <c r="V17" s="269"/>
      <c r="W17" s="285"/>
      <c r="X17" s="344"/>
      <c r="Y17" s="278"/>
      <c r="Z17" s="22" t="s">
        <v>2</v>
      </c>
      <c r="AA17" s="22"/>
      <c r="AB17" s="22" t="s">
        <v>3</v>
      </c>
      <c r="AC17" s="22"/>
      <c r="AD17" s="23" t="s">
        <v>4</v>
      </c>
      <c r="AE17" s="324" t="s">
        <v>301</v>
      </c>
      <c r="AF17" s="269"/>
      <c r="AG17" s="269"/>
      <c r="AH17" s="269"/>
      <c r="AI17" s="269"/>
      <c r="AJ17" s="269"/>
      <c r="AK17" s="270"/>
      <c r="AL17" s="1"/>
      <c r="AM17" s="1"/>
      <c r="AN17" s="1"/>
      <c r="AO17" s="1"/>
      <c r="AP17" s="1"/>
    </row>
    <row r="18" spans="1:42" ht="24" customHeight="1">
      <c r="A18" s="1"/>
      <c r="B18" s="5"/>
      <c r="C18" s="1"/>
      <c r="D18" s="1"/>
      <c r="E18" s="1"/>
      <c r="F18" s="1"/>
      <c r="G18" s="6"/>
      <c r="H18" s="307"/>
      <c r="I18" s="246"/>
      <c r="J18" s="246"/>
      <c r="K18" s="246"/>
      <c r="L18" s="289"/>
      <c r="M18" s="337" t="s">
        <v>302</v>
      </c>
      <c r="N18" s="266"/>
      <c r="O18" s="266"/>
      <c r="P18" s="266"/>
      <c r="Q18" s="266"/>
      <c r="R18" s="266"/>
      <c r="S18" s="266"/>
      <c r="T18" s="301"/>
      <c r="U18" s="319"/>
      <c r="V18" s="266"/>
      <c r="W18" s="332" t="s">
        <v>298</v>
      </c>
      <c r="X18" s="318"/>
      <c r="Y18" s="266"/>
      <c r="Z18" s="288" t="s">
        <v>2</v>
      </c>
      <c r="AA18" s="320"/>
      <c r="AB18" s="288" t="s">
        <v>3</v>
      </c>
      <c r="AC18" s="320"/>
      <c r="AD18" s="326" t="s">
        <v>4</v>
      </c>
      <c r="AE18" s="320"/>
      <c r="AF18" s="266"/>
      <c r="AG18" s="288" t="s">
        <v>2</v>
      </c>
      <c r="AH18" s="320"/>
      <c r="AI18" s="288" t="s">
        <v>3</v>
      </c>
      <c r="AJ18" s="320"/>
      <c r="AK18" s="323" t="s">
        <v>4</v>
      </c>
      <c r="AL18" s="1"/>
      <c r="AM18" s="1"/>
      <c r="AN18" s="1"/>
      <c r="AO18" s="1"/>
      <c r="AP18" s="1"/>
    </row>
    <row r="19" spans="1:42" ht="19.5" customHeight="1">
      <c r="A19" s="1"/>
      <c r="B19" s="5"/>
      <c r="C19" s="1"/>
      <c r="D19" s="1"/>
      <c r="E19" s="1"/>
      <c r="F19" s="1"/>
      <c r="G19" s="6"/>
      <c r="H19" s="302"/>
      <c r="I19" s="269"/>
      <c r="J19" s="269"/>
      <c r="K19" s="269"/>
      <c r="L19" s="270"/>
      <c r="M19" s="333" t="s">
        <v>303</v>
      </c>
      <c r="N19" s="269"/>
      <c r="O19" s="269"/>
      <c r="P19" s="269"/>
      <c r="Q19" s="269"/>
      <c r="R19" s="269"/>
      <c r="S19" s="269"/>
      <c r="T19" s="285"/>
      <c r="U19" s="269"/>
      <c r="V19" s="269"/>
      <c r="W19" s="285"/>
      <c r="X19" s="269"/>
      <c r="Y19" s="269"/>
      <c r="Z19" s="269"/>
      <c r="AA19" s="269"/>
      <c r="AB19" s="269"/>
      <c r="AC19" s="269"/>
      <c r="AD19" s="285"/>
      <c r="AE19" s="269"/>
      <c r="AF19" s="269"/>
      <c r="AG19" s="269"/>
      <c r="AH19" s="269"/>
      <c r="AI19" s="269"/>
      <c r="AJ19" s="269"/>
      <c r="AK19" s="270"/>
      <c r="AL19" s="1"/>
      <c r="AM19" s="1"/>
      <c r="AN19" s="1"/>
      <c r="AO19" s="1"/>
      <c r="AP19" s="1"/>
    </row>
    <row r="20" spans="1:42" ht="30.75" customHeight="1">
      <c r="A20" s="1"/>
      <c r="B20" s="5"/>
      <c r="C20" s="1"/>
      <c r="D20" s="1"/>
      <c r="E20" s="1"/>
      <c r="F20" s="1"/>
      <c r="G20" s="6"/>
      <c r="H20" s="340" t="s">
        <v>304</v>
      </c>
      <c r="I20" s="295"/>
      <c r="J20" s="295"/>
      <c r="K20" s="295"/>
      <c r="L20" s="295"/>
      <c r="M20" s="16"/>
      <c r="N20" s="16" t="s">
        <v>305</v>
      </c>
      <c r="O20" s="16"/>
      <c r="P20" s="16"/>
      <c r="Q20" s="16"/>
      <c r="R20" s="16"/>
      <c r="S20" s="16"/>
      <c r="T20" s="17"/>
      <c r="U20" s="345">
        <v>114</v>
      </c>
      <c r="V20" s="295"/>
      <c r="W20" s="18" t="s">
        <v>298</v>
      </c>
      <c r="X20" s="325" t="s">
        <v>306</v>
      </c>
      <c r="Y20" s="295"/>
      <c r="Z20" s="229" t="s">
        <v>2</v>
      </c>
      <c r="AA20" s="24">
        <v>11</v>
      </c>
      <c r="AB20" s="229" t="s">
        <v>3</v>
      </c>
      <c r="AC20" s="24">
        <v>8</v>
      </c>
      <c r="AD20" s="25" t="s">
        <v>4</v>
      </c>
      <c r="AE20" s="325" t="s">
        <v>306</v>
      </c>
      <c r="AF20" s="295"/>
      <c r="AG20" s="229" t="s">
        <v>2</v>
      </c>
      <c r="AH20" s="29">
        <v>9</v>
      </c>
      <c r="AI20" s="30" t="s">
        <v>3</v>
      </c>
      <c r="AJ20" s="24" t="s">
        <v>307</v>
      </c>
      <c r="AK20" s="31"/>
      <c r="AL20" s="1"/>
      <c r="AM20" s="1"/>
      <c r="AN20" s="1"/>
      <c r="AO20" s="1"/>
      <c r="AP20" s="1"/>
    </row>
    <row r="21" spans="1:42" ht="24" customHeight="1">
      <c r="A21" s="1"/>
      <c r="B21" s="5"/>
      <c r="C21" s="1"/>
      <c r="D21" s="1"/>
      <c r="E21" s="1"/>
      <c r="F21" s="1"/>
      <c r="G21" s="6"/>
      <c r="H21" s="308" t="s">
        <v>308</v>
      </c>
      <c r="I21" s="266"/>
      <c r="J21" s="266"/>
      <c r="K21" s="266"/>
      <c r="L21" s="267"/>
      <c r="M21" s="337" t="s">
        <v>309</v>
      </c>
      <c r="N21" s="266"/>
      <c r="O21" s="266"/>
      <c r="P21" s="266"/>
      <c r="Q21" s="266"/>
      <c r="R21" s="266"/>
      <c r="S21" s="266"/>
      <c r="T21" s="301"/>
      <c r="U21" s="317">
        <v>0</v>
      </c>
      <c r="V21" s="266"/>
      <c r="W21" s="332" t="s">
        <v>298</v>
      </c>
      <c r="X21" s="321" t="s">
        <v>310</v>
      </c>
      <c r="Y21" s="266"/>
      <c r="Z21" s="288" t="s">
        <v>2</v>
      </c>
      <c r="AA21" s="288"/>
      <c r="AB21" s="288" t="s">
        <v>3</v>
      </c>
      <c r="AC21" s="288"/>
      <c r="AD21" s="326" t="s">
        <v>4</v>
      </c>
      <c r="AE21" s="288"/>
      <c r="AF21" s="266"/>
      <c r="AG21" s="288" t="s">
        <v>2</v>
      </c>
      <c r="AH21" s="288"/>
      <c r="AI21" s="288" t="s">
        <v>3</v>
      </c>
      <c r="AJ21" s="288"/>
      <c r="AK21" s="323" t="s">
        <v>4</v>
      </c>
      <c r="AL21" s="1"/>
      <c r="AM21" s="1"/>
      <c r="AN21" s="1"/>
      <c r="AO21" s="1"/>
      <c r="AP21" s="1"/>
    </row>
    <row r="22" spans="1:42" ht="19.5" customHeight="1">
      <c r="A22" s="1"/>
      <c r="B22" s="5"/>
      <c r="C22" s="1"/>
      <c r="D22" s="1"/>
      <c r="E22" s="1"/>
      <c r="F22" s="1"/>
      <c r="G22" s="6"/>
      <c r="H22" s="307"/>
      <c r="I22" s="246"/>
      <c r="J22" s="246"/>
      <c r="K22" s="246"/>
      <c r="L22" s="289"/>
      <c r="M22" s="333" t="s">
        <v>300</v>
      </c>
      <c r="N22" s="269"/>
      <c r="O22" s="269"/>
      <c r="P22" s="269"/>
      <c r="Q22" s="269"/>
      <c r="R22" s="269"/>
      <c r="S22" s="269"/>
      <c r="T22" s="285"/>
      <c r="U22" s="269"/>
      <c r="V22" s="269"/>
      <c r="W22" s="285"/>
      <c r="X22" s="322"/>
      <c r="Y22" s="269"/>
      <c r="Z22" s="269"/>
      <c r="AA22" s="269"/>
      <c r="AB22" s="269"/>
      <c r="AC22" s="269"/>
      <c r="AD22" s="285"/>
      <c r="AE22" s="269"/>
      <c r="AF22" s="269"/>
      <c r="AG22" s="269"/>
      <c r="AH22" s="269"/>
      <c r="AI22" s="269"/>
      <c r="AJ22" s="269"/>
      <c r="AK22" s="270"/>
      <c r="AL22" s="1"/>
      <c r="AM22" s="1"/>
      <c r="AN22" s="1"/>
      <c r="AO22" s="1"/>
      <c r="AP22" s="1"/>
    </row>
    <row r="23" spans="1:42" ht="24" customHeight="1">
      <c r="A23" s="1"/>
      <c r="B23" s="336" t="s">
        <v>311</v>
      </c>
      <c r="C23" s="246"/>
      <c r="D23" s="246"/>
      <c r="E23" s="246"/>
      <c r="F23" s="246"/>
      <c r="G23" s="289"/>
      <c r="H23" s="307"/>
      <c r="I23" s="246"/>
      <c r="J23" s="246"/>
      <c r="K23" s="246"/>
      <c r="L23" s="289"/>
      <c r="M23" s="337" t="s">
        <v>302</v>
      </c>
      <c r="N23" s="266"/>
      <c r="O23" s="266"/>
      <c r="P23" s="266"/>
      <c r="Q23" s="266"/>
      <c r="R23" s="266"/>
      <c r="S23" s="266"/>
      <c r="T23" s="301"/>
      <c r="U23" s="319"/>
      <c r="V23" s="266"/>
      <c r="W23" s="332" t="s">
        <v>298</v>
      </c>
      <c r="X23" s="288"/>
      <c r="Y23" s="266"/>
      <c r="Z23" s="288" t="s">
        <v>2</v>
      </c>
      <c r="AA23" s="288"/>
      <c r="AB23" s="288" t="s">
        <v>3</v>
      </c>
      <c r="AC23" s="288"/>
      <c r="AD23" s="326" t="s">
        <v>4</v>
      </c>
      <c r="AE23" s="288"/>
      <c r="AF23" s="266"/>
      <c r="AG23" s="288" t="s">
        <v>2</v>
      </c>
      <c r="AH23" s="288"/>
      <c r="AI23" s="288" t="s">
        <v>3</v>
      </c>
      <c r="AJ23" s="288"/>
      <c r="AK23" s="323" t="s">
        <v>4</v>
      </c>
      <c r="AL23" s="1"/>
      <c r="AM23" s="1"/>
      <c r="AN23" s="1"/>
      <c r="AO23" s="1"/>
      <c r="AP23" s="1"/>
    </row>
    <row r="24" spans="1:42" ht="19.5" customHeight="1">
      <c r="A24" s="1"/>
      <c r="B24" s="7"/>
      <c r="C24" s="8"/>
      <c r="D24" s="8"/>
      <c r="E24" s="8"/>
      <c r="F24" s="8"/>
      <c r="G24" s="9"/>
      <c r="H24" s="302"/>
      <c r="I24" s="269"/>
      <c r="J24" s="269"/>
      <c r="K24" s="269"/>
      <c r="L24" s="270"/>
      <c r="M24" s="333" t="s">
        <v>303</v>
      </c>
      <c r="N24" s="269"/>
      <c r="O24" s="269"/>
      <c r="P24" s="269"/>
      <c r="Q24" s="269"/>
      <c r="R24" s="269"/>
      <c r="S24" s="269"/>
      <c r="T24" s="285"/>
      <c r="U24" s="269"/>
      <c r="V24" s="269"/>
      <c r="W24" s="285"/>
      <c r="X24" s="269"/>
      <c r="Y24" s="269"/>
      <c r="Z24" s="269"/>
      <c r="AA24" s="269"/>
      <c r="AB24" s="269"/>
      <c r="AC24" s="269"/>
      <c r="AD24" s="285"/>
      <c r="AE24" s="269"/>
      <c r="AF24" s="269"/>
      <c r="AG24" s="269"/>
      <c r="AH24" s="269"/>
      <c r="AI24" s="269"/>
      <c r="AJ24" s="269"/>
      <c r="AK24" s="270"/>
      <c r="AL24" s="1"/>
      <c r="AM24" s="1"/>
      <c r="AN24" s="1"/>
      <c r="AO24" s="1"/>
      <c r="AP24" s="1"/>
    </row>
    <row r="25" spans="1:42" ht="24.75" customHeight="1">
      <c r="A25" s="1"/>
      <c r="B25" s="336" t="s">
        <v>312</v>
      </c>
      <c r="C25" s="246"/>
      <c r="D25" s="246"/>
      <c r="E25" s="246"/>
      <c r="F25" s="246"/>
      <c r="G25" s="289"/>
      <c r="H25" s="308" t="s">
        <v>313</v>
      </c>
      <c r="I25" s="266"/>
      <c r="J25" s="266"/>
      <c r="K25" s="266"/>
      <c r="L25" s="267"/>
      <c r="M25" s="337" t="s">
        <v>309</v>
      </c>
      <c r="N25" s="266"/>
      <c r="O25" s="266"/>
      <c r="P25" s="266"/>
      <c r="Q25" s="266"/>
      <c r="R25" s="266"/>
      <c r="S25" s="266"/>
      <c r="T25" s="301"/>
      <c r="U25" s="338" t="s">
        <v>314</v>
      </c>
      <c r="V25" s="295"/>
      <c r="W25" s="295"/>
      <c r="X25" s="295"/>
      <c r="Y25" s="295"/>
      <c r="Z25" s="295"/>
      <c r="AA25" s="295"/>
      <c r="AB25" s="295"/>
      <c r="AC25" s="295"/>
      <c r="AD25" s="295"/>
      <c r="AE25" s="296"/>
      <c r="AF25" s="288" t="s">
        <v>161</v>
      </c>
      <c r="AG25" s="339" t="s">
        <v>315</v>
      </c>
      <c r="AH25" s="266"/>
      <c r="AI25" s="291"/>
      <c r="AJ25" s="266"/>
      <c r="AK25" s="323" t="s">
        <v>298</v>
      </c>
      <c r="AL25" s="1"/>
      <c r="AM25" s="1"/>
      <c r="AN25" s="1"/>
      <c r="AO25" s="1"/>
      <c r="AP25" s="1"/>
    </row>
    <row r="26" spans="1:42" ht="24.75" customHeight="1">
      <c r="A26" s="1"/>
      <c r="B26" s="234"/>
      <c r="C26" s="10"/>
      <c r="D26" s="10"/>
      <c r="E26" s="10"/>
      <c r="F26" s="10"/>
      <c r="G26" s="11"/>
      <c r="H26" s="307"/>
      <c r="I26" s="246"/>
      <c r="J26" s="246"/>
      <c r="K26" s="246"/>
      <c r="L26" s="289"/>
      <c r="M26" s="333" t="s">
        <v>300</v>
      </c>
      <c r="N26" s="269"/>
      <c r="O26" s="269"/>
      <c r="P26" s="269"/>
      <c r="Q26" s="269"/>
      <c r="R26" s="269"/>
      <c r="S26" s="269"/>
      <c r="T26" s="285"/>
      <c r="U26" s="334" t="s">
        <v>316</v>
      </c>
      <c r="V26" s="295"/>
      <c r="W26" s="295"/>
      <c r="X26" s="295"/>
      <c r="Y26" s="295"/>
      <c r="Z26" s="295"/>
      <c r="AA26" s="295"/>
      <c r="AB26" s="295"/>
      <c r="AC26" s="295"/>
      <c r="AD26" s="295"/>
      <c r="AE26" s="296"/>
      <c r="AF26" s="269"/>
      <c r="AG26" s="335" t="s">
        <v>317</v>
      </c>
      <c r="AH26" s="269"/>
      <c r="AI26" s="269"/>
      <c r="AJ26" s="269"/>
      <c r="AK26" s="270"/>
      <c r="AL26" s="1"/>
      <c r="AM26" s="1"/>
      <c r="AN26" s="1"/>
      <c r="AO26" s="1"/>
      <c r="AP26" s="1"/>
    </row>
    <row r="27" spans="1:42" ht="24.75" customHeight="1">
      <c r="A27" s="1"/>
      <c r="B27" s="336" t="s">
        <v>318</v>
      </c>
      <c r="C27" s="246"/>
      <c r="D27" s="246"/>
      <c r="E27" s="246"/>
      <c r="F27" s="246"/>
      <c r="G27" s="289"/>
      <c r="H27" s="307"/>
      <c r="I27" s="246"/>
      <c r="J27" s="246"/>
      <c r="K27" s="246"/>
      <c r="L27" s="289"/>
      <c r="M27" s="337" t="s">
        <v>302</v>
      </c>
      <c r="N27" s="266"/>
      <c r="O27" s="266"/>
      <c r="P27" s="266"/>
      <c r="Q27" s="266"/>
      <c r="R27" s="266"/>
      <c r="S27" s="266"/>
      <c r="T27" s="301"/>
      <c r="U27" s="338" t="s">
        <v>314</v>
      </c>
      <c r="V27" s="295"/>
      <c r="W27" s="295"/>
      <c r="X27" s="295"/>
      <c r="Y27" s="295"/>
      <c r="Z27" s="295"/>
      <c r="AA27" s="295"/>
      <c r="AB27" s="295"/>
      <c r="AC27" s="295"/>
      <c r="AD27" s="295"/>
      <c r="AE27" s="296"/>
      <c r="AF27" s="288" t="s">
        <v>161</v>
      </c>
      <c r="AG27" s="339" t="s">
        <v>315</v>
      </c>
      <c r="AH27" s="266"/>
      <c r="AI27" s="291"/>
      <c r="AJ27" s="266"/>
      <c r="AK27" s="323" t="s">
        <v>298</v>
      </c>
      <c r="AL27" s="1"/>
      <c r="AM27" s="1"/>
      <c r="AN27" s="1"/>
      <c r="AO27" s="1"/>
      <c r="AP27" s="1"/>
    </row>
    <row r="28" spans="1:42" ht="24.75" customHeight="1">
      <c r="A28" s="1"/>
      <c r="B28" s="5"/>
      <c r="C28" s="1"/>
      <c r="D28" s="1"/>
      <c r="E28" s="1"/>
      <c r="F28" s="1"/>
      <c r="G28" s="6"/>
      <c r="H28" s="302"/>
      <c r="I28" s="269"/>
      <c r="J28" s="269"/>
      <c r="K28" s="269"/>
      <c r="L28" s="270"/>
      <c r="M28" s="333" t="s">
        <v>303</v>
      </c>
      <c r="N28" s="269"/>
      <c r="O28" s="269"/>
      <c r="P28" s="269"/>
      <c r="Q28" s="269"/>
      <c r="R28" s="269"/>
      <c r="S28" s="269"/>
      <c r="T28" s="285"/>
      <c r="U28" s="334" t="s">
        <v>316</v>
      </c>
      <c r="V28" s="295"/>
      <c r="W28" s="295"/>
      <c r="X28" s="295"/>
      <c r="Y28" s="295"/>
      <c r="Z28" s="295"/>
      <c r="AA28" s="295"/>
      <c r="AB28" s="295"/>
      <c r="AC28" s="295"/>
      <c r="AD28" s="295"/>
      <c r="AE28" s="296"/>
      <c r="AF28" s="269"/>
      <c r="AG28" s="335" t="s">
        <v>317</v>
      </c>
      <c r="AH28" s="269"/>
      <c r="AI28" s="269"/>
      <c r="AJ28" s="269"/>
      <c r="AK28" s="270"/>
      <c r="AL28" s="1"/>
      <c r="AM28" s="1"/>
      <c r="AN28" s="1"/>
      <c r="AO28" s="1"/>
      <c r="AP28" s="1"/>
    </row>
    <row r="29" spans="1:42" ht="24.75" customHeight="1">
      <c r="A29" s="1"/>
      <c r="B29" s="5"/>
      <c r="C29" s="1"/>
      <c r="D29" s="1"/>
      <c r="E29" s="1"/>
      <c r="F29" s="1"/>
      <c r="G29" s="6"/>
      <c r="H29" s="327" t="s">
        <v>319</v>
      </c>
      <c r="I29" s="295"/>
      <c r="J29" s="295"/>
      <c r="K29" s="295"/>
      <c r="L29" s="299"/>
      <c r="M29" s="328" t="s">
        <v>320</v>
      </c>
      <c r="N29" s="295"/>
      <c r="O29" s="295"/>
      <c r="P29" s="295"/>
      <c r="Q29" s="295"/>
      <c r="R29" s="295"/>
      <c r="S29" s="295"/>
      <c r="T29" s="19"/>
      <c r="U29" s="19"/>
      <c r="V29" s="329">
        <f>U16+U20+U21</f>
        <v>136</v>
      </c>
      <c r="W29" s="295"/>
      <c r="X29" s="20" t="s">
        <v>298</v>
      </c>
      <c r="Y29" s="26"/>
      <c r="Z29" s="27" t="s">
        <v>313</v>
      </c>
      <c r="AA29" s="28"/>
      <c r="AB29" s="28"/>
      <c r="AC29" s="28"/>
      <c r="AD29" s="28"/>
      <c r="AE29" s="28"/>
      <c r="AF29" s="28"/>
      <c r="AG29" s="28"/>
      <c r="AH29" s="1"/>
      <c r="AI29" s="28" t="s">
        <v>321</v>
      </c>
      <c r="AJ29" s="28"/>
      <c r="AK29" s="32"/>
      <c r="AL29" s="1"/>
      <c r="AM29" s="1"/>
      <c r="AN29" s="1"/>
      <c r="AO29" s="1"/>
      <c r="AP29" s="1"/>
    </row>
    <row r="30" spans="1:42" ht="29.25" customHeight="1">
      <c r="A30" s="1"/>
      <c r="B30" s="5"/>
      <c r="C30" s="1"/>
      <c r="D30" s="1"/>
      <c r="E30" s="1"/>
      <c r="F30" s="1"/>
      <c r="G30" s="6"/>
      <c r="H30" s="308" t="s">
        <v>322</v>
      </c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7"/>
      <c r="U30" s="330" t="s">
        <v>323</v>
      </c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9"/>
      <c r="AL30" s="1"/>
      <c r="AM30" s="1"/>
      <c r="AN30" s="1"/>
      <c r="AO30" s="1"/>
      <c r="AP30" s="1"/>
    </row>
    <row r="31" spans="1:42" ht="29.25" customHeight="1">
      <c r="A31" s="1"/>
      <c r="B31" s="5"/>
      <c r="C31" s="1"/>
      <c r="D31" s="1"/>
      <c r="E31" s="1"/>
      <c r="F31" s="1"/>
      <c r="G31" s="6"/>
      <c r="H31" s="307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89"/>
      <c r="U31" s="331" t="s">
        <v>324</v>
      </c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9"/>
      <c r="AL31" s="1"/>
      <c r="AM31" s="1"/>
      <c r="AN31" s="1"/>
      <c r="AO31" s="1"/>
      <c r="AP31" s="1"/>
    </row>
    <row r="32" spans="1:42" ht="29.25" customHeight="1">
      <c r="A32" s="1"/>
      <c r="B32" s="235"/>
      <c r="C32" s="237"/>
      <c r="D32" s="237"/>
      <c r="E32" s="237"/>
      <c r="F32" s="237"/>
      <c r="G32" s="12"/>
      <c r="H32" s="302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70"/>
      <c r="U32" s="331" t="s">
        <v>325</v>
      </c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9"/>
      <c r="AL32" s="1"/>
      <c r="AM32" s="1"/>
      <c r="AN32" s="1"/>
      <c r="AO32" s="1"/>
      <c r="AP32" s="1"/>
    </row>
    <row r="33" spans="1:42" ht="18" customHeight="1">
      <c r="A33" s="1"/>
      <c r="B33" s="231" t="s">
        <v>326</v>
      </c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33"/>
      <c r="AL33" s="1"/>
      <c r="AM33" s="1"/>
      <c r="AN33" s="1"/>
      <c r="AO33" s="1"/>
      <c r="AP33" s="1"/>
    </row>
    <row r="34" spans="1:42" ht="18" customHeight="1">
      <c r="A34" s="1"/>
      <c r="B34" s="13" t="s">
        <v>327</v>
      </c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34"/>
      <c r="AL34" s="1"/>
      <c r="AM34" s="1"/>
      <c r="AN34" s="1"/>
      <c r="AO34" s="1"/>
      <c r="AP34" s="1"/>
    </row>
    <row r="35" spans="1:42" ht="18" customHeight="1">
      <c r="A35" s="1"/>
      <c r="B35" s="13" t="s">
        <v>328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34"/>
      <c r="AL35" s="1"/>
      <c r="AM35" s="1"/>
      <c r="AN35" s="1"/>
      <c r="AO35" s="1"/>
      <c r="AP35" s="1"/>
    </row>
    <row r="36" spans="1:42" ht="19.5" customHeight="1">
      <c r="A36" s="1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5"/>
      <c r="AL36" s="1"/>
      <c r="AM36" s="1"/>
      <c r="AN36" s="1"/>
      <c r="AO36" s="1"/>
      <c r="AP36" s="1"/>
    </row>
    <row r="37" spans="1:42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mergeCells count="132">
    <mergeCell ref="B8:G8"/>
    <mergeCell ref="H9:V9"/>
    <mergeCell ref="B10:G10"/>
    <mergeCell ref="H10:V10"/>
    <mergeCell ref="H11:V11"/>
    <mergeCell ref="H14:V14"/>
    <mergeCell ref="H15:L15"/>
    <mergeCell ref="M15:T15"/>
    <mergeCell ref="U15:W15"/>
    <mergeCell ref="H13:V13"/>
    <mergeCell ref="X15:AD15"/>
    <mergeCell ref="AE15:AK15"/>
    <mergeCell ref="M16:T16"/>
    <mergeCell ref="X16:Y16"/>
    <mergeCell ref="H3:V3"/>
    <mergeCell ref="H4:V4"/>
    <mergeCell ref="H5:V5"/>
    <mergeCell ref="H6:V6"/>
    <mergeCell ref="B23:G23"/>
    <mergeCell ref="M23:T23"/>
    <mergeCell ref="AK23:AK24"/>
    <mergeCell ref="X3:AB4"/>
    <mergeCell ref="X7:AB8"/>
    <mergeCell ref="X11:AB12"/>
    <mergeCell ref="H7:V8"/>
    <mergeCell ref="AK21:AK22"/>
    <mergeCell ref="M17:T17"/>
    <mergeCell ref="X17:Y17"/>
    <mergeCell ref="M18:T18"/>
    <mergeCell ref="M19:T19"/>
    <mergeCell ref="H20:L20"/>
    <mergeCell ref="U20:V20"/>
    <mergeCell ref="X20:Y20"/>
    <mergeCell ref="H12:V12"/>
    <mergeCell ref="M24:T24"/>
    <mergeCell ref="B25:G25"/>
    <mergeCell ref="M25:T25"/>
    <mergeCell ref="U25:AE25"/>
    <mergeCell ref="AG25:AH25"/>
    <mergeCell ref="AB23:AB24"/>
    <mergeCell ref="AD21:AD22"/>
    <mergeCell ref="AD23:AD24"/>
    <mergeCell ref="AG21:AG22"/>
    <mergeCell ref="AG23:AG24"/>
    <mergeCell ref="AH21:AH22"/>
    <mergeCell ref="AH23:AH24"/>
    <mergeCell ref="M21:T21"/>
    <mergeCell ref="M22:T22"/>
    <mergeCell ref="M26:T26"/>
    <mergeCell ref="U26:AE26"/>
    <mergeCell ref="AG26:AH26"/>
    <mergeCell ref="B27:G27"/>
    <mergeCell ref="M27:T27"/>
    <mergeCell ref="U27:AE27"/>
    <mergeCell ref="AG27:AH27"/>
    <mergeCell ref="M28:T28"/>
    <mergeCell ref="U28:AE28"/>
    <mergeCell ref="AG28:AH28"/>
    <mergeCell ref="AF25:AF26"/>
    <mergeCell ref="AF27:AF28"/>
    <mergeCell ref="H29:L29"/>
    <mergeCell ref="M29:S29"/>
    <mergeCell ref="V29:W29"/>
    <mergeCell ref="U30:AK30"/>
    <mergeCell ref="U31:AK31"/>
    <mergeCell ref="U32:AK32"/>
    <mergeCell ref="W3:W4"/>
    <mergeCell ref="W5:W6"/>
    <mergeCell ref="W7:W8"/>
    <mergeCell ref="W9:W10"/>
    <mergeCell ref="W11:W12"/>
    <mergeCell ref="W13:W14"/>
    <mergeCell ref="W16:W17"/>
    <mergeCell ref="W18:W19"/>
    <mergeCell ref="W21:W22"/>
    <mergeCell ref="W23:W24"/>
    <mergeCell ref="Z18:Z19"/>
    <mergeCell ref="Z21:Z22"/>
    <mergeCell ref="Z23:Z24"/>
    <mergeCell ref="AA18:AA19"/>
    <mergeCell ref="AA21:AA22"/>
    <mergeCell ref="AA23:AA24"/>
    <mergeCell ref="AB18:AB19"/>
    <mergeCell ref="AB21:AB22"/>
    <mergeCell ref="AK25:AK26"/>
    <mergeCell ref="AC3:AC4"/>
    <mergeCell ref="AC5:AC6"/>
    <mergeCell ref="AC7:AC8"/>
    <mergeCell ref="AC9:AC10"/>
    <mergeCell ref="AC11:AC12"/>
    <mergeCell ref="AC13:AC14"/>
    <mergeCell ref="AC18:AC19"/>
    <mergeCell ref="AC21:AC22"/>
    <mergeCell ref="AC23:AC24"/>
    <mergeCell ref="AE17:AK17"/>
    <mergeCell ref="AE20:AF20"/>
    <mergeCell ref="AD18:AD19"/>
    <mergeCell ref="AG18:AG19"/>
    <mergeCell ref="AH18:AH19"/>
    <mergeCell ref="AI18:AI19"/>
    <mergeCell ref="AD3:AK4"/>
    <mergeCell ref="AD9:AK10"/>
    <mergeCell ref="AD7:AK8"/>
    <mergeCell ref="AD11:AK12"/>
    <mergeCell ref="AI21:AI22"/>
    <mergeCell ref="AJ18:AJ19"/>
    <mergeCell ref="AJ21:AJ22"/>
    <mergeCell ref="AK18:AK19"/>
    <mergeCell ref="H30:T32"/>
    <mergeCell ref="X5:AB6"/>
    <mergeCell ref="AD5:AK6"/>
    <mergeCell ref="X13:AB14"/>
    <mergeCell ref="AD13:AK14"/>
    <mergeCell ref="U16:V17"/>
    <mergeCell ref="X18:Y19"/>
    <mergeCell ref="U18:V19"/>
    <mergeCell ref="AE18:AF19"/>
    <mergeCell ref="U23:V24"/>
    <mergeCell ref="AE23:AF24"/>
    <mergeCell ref="X21:Y22"/>
    <mergeCell ref="U21:V22"/>
    <mergeCell ref="AE21:AF22"/>
    <mergeCell ref="X23:Y24"/>
    <mergeCell ref="X9:AB10"/>
    <mergeCell ref="AI27:AJ28"/>
    <mergeCell ref="AI25:AJ26"/>
    <mergeCell ref="H16:L19"/>
    <mergeCell ref="H21:L24"/>
    <mergeCell ref="H25:L28"/>
    <mergeCell ref="AK27:AK28"/>
    <mergeCell ref="AI23:AI24"/>
    <mergeCell ref="AJ23:AJ24"/>
  </mergeCells>
  <phoneticPr fontId="35"/>
  <pageMargins left="0.39305555555555599" right="0.196527777777778" top="0.59027777777777801" bottom="0.196527777777778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6</vt:i4>
      </vt:variant>
    </vt:vector>
  </HeadingPairs>
  <TitlesOfParts>
    <vt:vector size="17" baseType="lpstr">
      <vt:lpstr>表紙</vt:lpstr>
      <vt:lpstr>帳簿</vt:lpstr>
      <vt:lpstr>帳簿(認定)</vt:lpstr>
      <vt:lpstr>更新期限</vt:lpstr>
      <vt:lpstr>帳簿(空気銃)</vt:lpstr>
      <vt:lpstr>データシート</vt:lpstr>
      <vt:lpstr>表紙記号</vt:lpstr>
      <vt:lpstr>知人名簿</vt:lpstr>
      <vt:lpstr>身上関係 (裏)</vt:lpstr>
      <vt:lpstr>実包関係（表）</vt:lpstr>
      <vt:lpstr>実包関係（裏</vt:lpstr>
      <vt:lpstr>帳簿!Print_Area</vt:lpstr>
      <vt:lpstr>'帳簿(空気銃)'!Print_Area</vt:lpstr>
      <vt:lpstr>'帳簿(認定)'!Print_Area</vt:lpstr>
      <vt:lpstr>使用銃</vt:lpstr>
      <vt:lpstr>場所</vt:lpstr>
      <vt:lpstr>用途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鈴木 翔一郎</dc:creator>
  <cp:keywords/>
  <dc:description/>
  <cp:lastModifiedBy>翔一郎 鈴木</cp:lastModifiedBy>
  <cp:revision/>
  <dcterms:created xsi:type="dcterms:W3CDTF">2019-10-21T16:54:00Z</dcterms:created>
  <dcterms:modified xsi:type="dcterms:W3CDTF">2026-01-25T13:47:04Z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1041-10.8.0.5745</vt:lpwstr>
  </property>
  <property fmtid="{D5CDD505-2E9C-101B-9397-08002B2CF9AE}" pid="3" name="KSOReadingLayout">
    <vt:bool>false</vt:bool>
  </property>
</Properties>
</file>